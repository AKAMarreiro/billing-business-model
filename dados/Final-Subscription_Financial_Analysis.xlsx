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remissas" sheetId="1" state="visible" r:id="rId1"/>
    <sheet xmlns:r="http://schemas.openxmlformats.org/officeDocument/2006/relationships" name="Base de Pontos" sheetId="2" state="visible" r:id="rId2"/>
    <sheet xmlns:r="http://schemas.openxmlformats.org/officeDocument/2006/relationships" name="Pacote vs Anuidade" sheetId="3" state="visible" r:id="rId3"/>
    <sheet xmlns:r="http://schemas.openxmlformats.org/officeDocument/2006/relationships" name="Análises" sheetId="4" state="visible" r:id="rId4"/>
    <sheet xmlns:r="http://schemas.openxmlformats.org/officeDocument/2006/relationships" name="Migração (futuro)" sheetId="5" state="visible" r:id="rId5"/>
    <sheet xmlns:r="http://schemas.openxmlformats.org/officeDocument/2006/relationships" name="Monitoramento" sheetId="6" state="visible" r:id="rId6"/>
    <sheet xmlns:r="http://schemas.openxmlformats.org/officeDocument/2006/relationships" name="Mercado" sheetId="7" state="visible" r:id="rId7"/>
    <sheet xmlns:r="http://schemas.openxmlformats.org/officeDocument/2006/relationships" name="Fontes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#,##0;\(#,##0\);\-"/>
    <numFmt numFmtId="165" formatCode="&quot;R$ &quot;#,##0;&quot;(R$ &quot;#,##0\);\-"/>
    <numFmt numFmtId="166" formatCode="0.0%;\(0.0%\);\-"/>
    <numFmt numFmtId="167" formatCode="\$#,##0.00;&quot;($&quot;#,##0.00\);\-"/>
    <numFmt numFmtId="168" formatCode="0.00\x"/>
    <numFmt numFmtId="169" formatCode="&quot;R$ &quot;#,##0.00;&quot;(R$ &quot;#,##0.00\);\-"/>
    <numFmt numFmtId="170" formatCode="#,##0.0;\(#,##0.0\);\-"/>
  </numFmts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6B3B"/>
      <sz val="14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595959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i val="1"/>
      <color rgb="FF7A1E1E"/>
      <sz val="9"/>
    </font>
    <font>
      <name val="Arial"/>
      <charset val="1"/>
      <family val="0"/>
      <color rgb="FF008000"/>
      <sz val="10"/>
    </font>
    <font>
      <name val="Arial"/>
      <charset val="1"/>
      <family val="0"/>
      <color rgb="FF595959"/>
      <sz val="9"/>
    </font>
    <font>
      <name val="Arial"/>
      <charset val="1"/>
      <family val="0"/>
      <i val="1"/>
      <color rgb="FF000000"/>
      <sz val="10"/>
    </font>
    <font>
      <name val="Arial"/>
      <charset val="1"/>
      <family val="0"/>
      <color rgb="FF808080"/>
      <sz val="9"/>
    </font>
    <font>
      <name val="Arial"/>
      <charset val="1"/>
      <family val="0"/>
      <b val="1"/>
      <color rgb="FF0000FF"/>
      <sz val="10"/>
    </font>
    <font>
      <name val="Arial"/>
      <charset val="1"/>
      <family val="0"/>
      <b val="1"/>
      <color rgb="FF000000"/>
      <sz val="11"/>
    </font>
    <font>
      <name val="Arial"/>
      <family val="2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Arial"/>
      <charset val="1"/>
      <family val="0"/>
      <color rgb="FF0563C1"/>
      <sz val="9"/>
    </font>
  </fonts>
  <fills count="7">
    <fill>
      <patternFill/>
    </fill>
    <fill>
      <patternFill patternType="gray125"/>
    </fill>
    <fill>
      <patternFill patternType="solid">
        <fgColor rgb="FF12558C"/>
        <bgColor rgb="FF0563C1"/>
      </patternFill>
    </fill>
    <fill>
      <patternFill patternType="solid">
        <fgColor rgb="FF1F6B3B"/>
        <bgColor rgb="FF008000"/>
      </patternFill>
    </fill>
    <fill>
      <patternFill patternType="solid">
        <fgColor rgb="FFFFFF00"/>
        <bgColor rgb="FFFFFF00"/>
      </patternFill>
    </fill>
    <fill>
      <patternFill patternType="solid">
        <fgColor rgb="FFDCEFE0"/>
        <bgColor rgb="FFD9D9D9"/>
      </patternFill>
    </fill>
    <fill>
      <patternFill patternType="solid">
        <fgColor rgb="FFFBE2E2"/>
        <bgColor rgb="FFDCEFE0"/>
      </patternFill>
    </fill>
  </fills>
  <borders count="2">
    <border>
      <left/>
      <right/>
      <top/>
      <bottom/>
      <diagonal/>
    </border>
    <border>
      <left/>
      <right/>
      <top style="thin">
        <color rgb="FF404040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5" fontId="8" fillId="4" borderId="0" applyAlignment="1" pivotButton="0" quotePrefix="0" xfId="0">
      <alignment horizontal="general" vertical="bottom"/>
    </xf>
    <xf numFmtId="164" fontId="10" fillId="5" borderId="0" applyAlignment="1" pivotButton="0" quotePrefix="0" xfId="0">
      <alignment horizontal="general" vertical="bottom"/>
    </xf>
    <xf numFmtId="165" fontId="10" fillId="5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166" fontId="8" fillId="4" borderId="0" applyAlignment="1" pivotButton="0" quotePrefix="0" xfId="0">
      <alignment horizontal="general" vertical="bottom"/>
    </xf>
    <xf numFmtId="166" fontId="9" fillId="0" borderId="0" applyAlignment="1" pivotButton="0" quotePrefix="0" xfId="0">
      <alignment horizontal="general" vertical="bottom"/>
    </xf>
    <xf numFmtId="167" fontId="9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11" fillId="6" borderId="0" applyAlignment="1" pivotButton="0" quotePrefix="0" xfId="0">
      <alignment horizontal="general" vertical="top" wrapText="1"/>
    </xf>
    <xf numFmtId="165" fontId="8" fillId="0" borderId="0" applyAlignment="1" pivotButton="0" quotePrefix="0" xfId="0">
      <alignment horizontal="general" vertical="bottom"/>
    </xf>
    <xf numFmtId="168" fontId="8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168" fontId="8" fillId="4" borderId="0" applyAlignment="1" pivotButton="0" quotePrefix="0" xfId="0">
      <alignment horizontal="general" vertical="bottom"/>
    </xf>
    <xf numFmtId="1" fontId="8" fillId="4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1" fontId="7" fillId="0" borderId="0" applyAlignment="1" pivotButton="0" quotePrefix="0" xfId="0">
      <alignment horizontal="general" vertical="bottom"/>
    </xf>
    <xf numFmtId="165" fontId="12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2" fontId="7" fillId="0" borderId="0" applyAlignment="1" pivotButton="0" quotePrefix="0" xfId="0">
      <alignment horizontal="general" vertical="bottom"/>
    </xf>
    <xf numFmtId="164" fontId="12" fillId="0" borderId="0" applyAlignment="1" pivotButton="0" quotePrefix="0" xfId="0">
      <alignment horizontal="general" vertical="bottom"/>
    </xf>
    <xf numFmtId="166" fontId="10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6" fontId="12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166" fontId="10" fillId="5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9" fontId="8" fillId="4" borderId="0" applyAlignment="1" pivotButton="0" quotePrefix="0" xfId="0">
      <alignment horizontal="general" vertical="bottom"/>
    </xf>
    <xf numFmtId="170" fontId="8" fillId="4" borderId="0" applyAlignment="1" pivotButton="0" quotePrefix="0" xfId="0">
      <alignment horizontal="general" vertical="bottom"/>
    </xf>
    <xf numFmtId="1" fontId="6" fillId="2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164" fontId="15" fillId="0" borderId="0" applyAlignment="1" pivotButton="0" quotePrefix="0" xfId="0">
      <alignment horizontal="general" vertical="bottom"/>
    </xf>
    <xf numFmtId="169" fontId="7" fillId="0" borderId="0" applyAlignment="1" pivotButton="0" quotePrefix="0" xfId="0">
      <alignment horizontal="general" vertical="bottom"/>
    </xf>
    <xf numFmtId="164" fontId="16" fillId="4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indent="1"/>
    </xf>
    <xf numFmtId="170" fontId="10" fillId="5" borderId="0" applyAlignment="1" pivotButton="0" quotePrefix="0" xfId="0">
      <alignment horizontal="general" vertical="bottom"/>
    </xf>
    <xf numFmtId="1" fontId="10" fillId="5" borderId="0" applyAlignment="1" pivotButton="0" quotePrefix="0" xfId="0">
      <alignment horizontal="general" vertical="bottom"/>
    </xf>
    <xf numFmtId="169" fontId="10" fillId="5" borderId="0" applyAlignment="1" pivotButton="0" quotePrefix="0" xfId="0">
      <alignment horizontal="general" vertical="bottom"/>
    </xf>
    <xf numFmtId="169" fontId="10" fillId="0" borderId="0" applyAlignment="1" pivotButton="0" quotePrefix="0" xfId="0">
      <alignment horizontal="general" vertical="bottom"/>
    </xf>
    <xf numFmtId="170" fontId="10" fillId="0" borderId="0" applyAlignment="1" pivotButton="0" quotePrefix="0" xfId="0">
      <alignment horizontal="general" vertical="bottom"/>
    </xf>
    <xf numFmtId="1" fontId="10" fillId="0" borderId="0" applyAlignment="1" pivotButton="0" quotePrefix="0" xfId="0">
      <alignment horizontal="general" vertical="bottom"/>
    </xf>
    <xf numFmtId="49" fontId="17" fillId="5" borderId="0" applyAlignment="1" pivotButton="0" quotePrefix="0" xfId="0">
      <alignment horizontal="general" vertical="bottom"/>
    </xf>
    <xf numFmtId="169" fontId="10" fillId="4" borderId="0" applyAlignment="1" pivotButton="0" quotePrefix="0" xfId="0">
      <alignment horizontal="general" vertical="bottom"/>
    </xf>
    <xf numFmtId="166" fontId="10" fillId="4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166" fontId="10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2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5" fontId="8" fillId="4" borderId="0" applyAlignment="1" pivotButton="0" quotePrefix="0" xfId="0">
      <alignment horizontal="general" vertical="bottom"/>
    </xf>
    <xf numFmtId="164" fontId="10" fillId="5" borderId="0" applyAlignment="1" pivotButton="0" quotePrefix="0" xfId="0">
      <alignment horizontal="general" vertical="bottom"/>
    </xf>
    <xf numFmtId="165" fontId="10" fillId="5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166" fontId="8" fillId="4" borderId="0" applyAlignment="1" pivotButton="0" quotePrefix="0" xfId="0">
      <alignment horizontal="general" vertical="bottom"/>
    </xf>
    <xf numFmtId="166" fontId="9" fillId="0" borderId="0" applyAlignment="1" pivotButton="0" quotePrefix="0" xfId="0">
      <alignment horizontal="general" vertical="bottom"/>
    </xf>
    <xf numFmtId="167" fontId="9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11" fillId="6" borderId="0" applyAlignment="1" pivotButton="0" quotePrefix="0" xfId="0">
      <alignment horizontal="general" vertical="top" wrapText="1"/>
    </xf>
    <xf numFmtId="165" fontId="8" fillId="0" borderId="0" applyAlignment="1" pivotButton="0" quotePrefix="0" xfId="0">
      <alignment horizontal="general" vertical="bottom"/>
    </xf>
    <xf numFmtId="168" fontId="8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168" fontId="8" fillId="4" borderId="0" applyAlignment="1" pivotButton="0" quotePrefix="0" xfId="0">
      <alignment horizontal="general" vertical="bottom"/>
    </xf>
    <xf numFmtId="1" fontId="8" fillId="4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1" fontId="7" fillId="0" borderId="0" applyAlignment="1" pivotButton="0" quotePrefix="0" xfId="0">
      <alignment horizontal="general" vertical="bottom"/>
    </xf>
    <xf numFmtId="165" fontId="12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2" fontId="7" fillId="0" borderId="0" applyAlignment="1" pivotButton="0" quotePrefix="0" xfId="0">
      <alignment horizontal="general" vertical="bottom"/>
    </xf>
    <xf numFmtId="164" fontId="12" fillId="0" borderId="0" applyAlignment="1" pivotButton="0" quotePrefix="0" xfId="0">
      <alignment horizontal="general" vertical="bottom"/>
    </xf>
    <xf numFmtId="166" fontId="10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6" fontId="12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166" fontId="10" fillId="5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9" fontId="8" fillId="4" borderId="0" applyAlignment="1" pivotButton="0" quotePrefix="0" xfId="0">
      <alignment horizontal="general" vertical="bottom"/>
    </xf>
    <xf numFmtId="170" fontId="8" fillId="4" borderId="0" applyAlignment="1" pivotButton="0" quotePrefix="0" xfId="0">
      <alignment horizontal="general" vertical="bottom"/>
    </xf>
    <xf numFmtId="1" fontId="6" fillId="2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164" fontId="15" fillId="0" borderId="0" applyAlignment="1" pivotButton="0" quotePrefix="0" xfId="0">
      <alignment horizontal="general" vertical="bottom"/>
    </xf>
    <xf numFmtId="169" fontId="7" fillId="0" borderId="0" applyAlignment="1" pivotButton="0" quotePrefix="0" xfId="0">
      <alignment horizontal="general" vertical="bottom"/>
    </xf>
    <xf numFmtId="164" fontId="16" fillId="4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indent="1"/>
    </xf>
    <xf numFmtId="170" fontId="10" fillId="5" borderId="0" applyAlignment="1" pivotButton="0" quotePrefix="0" xfId="0">
      <alignment horizontal="general" vertical="bottom"/>
    </xf>
    <xf numFmtId="1" fontId="10" fillId="5" borderId="0" applyAlignment="1" pivotButton="0" quotePrefix="0" xfId="0">
      <alignment horizontal="general" vertical="bottom"/>
    </xf>
    <xf numFmtId="169" fontId="10" fillId="5" borderId="0" applyAlignment="1" pivotButton="0" quotePrefix="0" xfId="0">
      <alignment horizontal="general" vertical="bottom"/>
    </xf>
    <xf numFmtId="169" fontId="10" fillId="0" borderId="0" applyAlignment="1" pivotButton="0" quotePrefix="0" xfId="0">
      <alignment horizontal="general" vertical="bottom"/>
    </xf>
    <xf numFmtId="170" fontId="10" fillId="0" borderId="0" applyAlignment="1" pivotButton="0" quotePrefix="0" xfId="0">
      <alignment horizontal="general" vertical="bottom"/>
    </xf>
    <xf numFmtId="1" fontId="10" fillId="0" borderId="0" applyAlignment="1" pivotButton="0" quotePrefix="0" xfId="0">
      <alignment horizontal="general" vertical="bottom"/>
    </xf>
    <xf numFmtId="49" fontId="17" fillId="5" borderId="0" applyAlignment="1" pivotButton="0" quotePrefix="0" xfId="0">
      <alignment horizontal="general" vertical="bottom"/>
    </xf>
    <xf numFmtId="169" fontId="10" fillId="4" borderId="0" applyAlignment="1" pivotButton="0" quotePrefix="0" xfId="0">
      <alignment horizontal="general" vertical="bottom"/>
    </xf>
    <xf numFmtId="166" fontId="10" fillId="4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164" fontId="10" fillId="0" borderId="0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166" fontId="10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21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A1E1E"/>
      <rgbColor rgb="FF008000"/>
      <rgbColor rgb="FF000080"/>
      <rgbColor rgb="FF808000"/>
      <rgbColor rgb="FF800080"/>
      <rgbColor rgb="FF1F6B3B"/>
      <rgbColor rgb="FFA6A6A6"/>
      <rgbColor rgb="FF808080"/>
      <rgbColor rgb="FF9999FF"/>
      <rgbColor rgb="FF993366"/>
      <rgbColor rgb="FFFBE2E2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FE0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878787"/>
      <rgbColor rgb="FF12558C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pt-B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Score de oportunidade por pais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tx>
            <strRef>
              <f>Mercado!$H$11</f>
              <strCache>
                <ptCount val="1"/>
                <pt idx="0">
                  <v>Score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0"/>
          </dLbls>
          <cat>
            <strRef>
              <f>Mercado!$A$12:$A$34</f>
              <strCache>
                <ptCount val="23"/>
                <pt idx="0">
                  <v>India</v>
                </pt>
                <pt idx="1">
                  <v>China</v>
                </pt>
                <pt idx="2">
                  <v>Estados Unidos</v>
                </pt>
                <pt idx="3">
                  <v>Paquistao</v>
                </pt>
                <pt idx="4">
                  <v>Indonesia</v>
                </pt>
                <pt idx="5">
                  <v>Ira</v>
                </pt>
                <pt idx="6">
                  <v>Brasil</v>
                </pt>
                <pt idx="7">
                  <v>Tailandia</v>
                </pt>
                <pt idx="8">
                  <v>Mexico</v>
                </pt>
                <pt idx="9">
                  <v>Turquia</v>
                </pt>
                <pt idx="10">
                  <v>Vietna</v>
                </pt>
                <pt idx="11">
                  <v>Russia</v>
                </pt>
                <pt idx="12">
                  <v>Espanha</v>
                </pt>
                <pt idx="13">
                  <v>Uzbequistao</v>
                </pt>
                <pt idx="14">
                  <v>Egito</v>
                </pt>
                <pt idx="15">
                  <v>Iraque</v>
                </pt>
                <pt idx="16">
                  <v>Italia</v>
                </pt>
                <pt idx="17">
                  <v>Peru</v>
                </pt>
                <pt idx="18">
                  <v>Argentina</v>
                </pt>
                <pt idx="19">
                  <v>Cazaquistao</v>
                </pt>
                <pt idx="20">
                  <v>Sudao</v>
                </pt>
                <pt idx="21">
                  <v>Australia</v>
                </pt>
                <pt idx="22">
                  <v>Ucrania</v>
                </pt>
              </strCache>
            </strRef>
          </cat>
          <val>
            <numRef>
              <f>Mercado!$H$12:$H$34</f>
              <numCache>
                <formatCode>#,##0.0;\(#,##0.0\);\-</formatCode>
                <ptCount val="23"/>
                <pt idx="0">
                  <v>8.58648</v>
                </pt>
                <pt idx="1">
                  <v>12.4488</v>
                </pt>
                <pt idx="2">
                  <v>35.4585</v>
                </pt>
                <pt idx="3">
                  <v>0.5802</v>
                </pt>
                <pt idx="4">
                  <v>0.54816</v>
                </pt>
                <pt idx="5">
                  <v>1.91328</v>
                </pt>
                <pt idx="6">
                  <v>18.6381</v>
                </pt>
                <pt idx="7">
                  <v>0.3849</v>
                </pt>
                <pt idx="8">
                  <v>12.124</v>
                </pt>
                <pt idx="9">
                  <v>7.04025</v>
                </pt>
                <pt idx="10">
                  <v>0.276</v>
                </pt>
                <pt idx="11">
                  <v>2.58</v>
                </pt>
                <pt idx="12">
                  <v>2.81925</v>
                </pt>
                <pt idx="13">
                  <v>1.1196</v>
                </pt>
                <pt idx="14">
                  <v>2.19</v>
                </pt>
                <pt idx="15">
                  <v>0.5287500000000001</v>
                </pt>
                <pt idx="16">
                  <v>1.5606</v>
                </pt>
                <pt idx="17">
                  <v>2.322</v>
                </pt>
                <pt idx="18">
                  <v>5.664</v>
                </pt>
                <pt idx="19">
                  <v>1.629</v>
                </pt>
                <pt idx="20">
                  <v>0.14103</v>
                </pt>
                <pt idx="21">
                  <v>1.3689</v>
                </pt>
                <pt idx="22">
                  <v>1.008</v>
                </pt>
              </numCache>
            </numRef>
          </val>
        </ser>
        <gapWidth val="150"/>
        <overlap val="0"/>
        <axId val="18436510"/>
        <axId val="93407951"/>
      </barChart>
      <catAx>
        <axId val="1843651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93407951"/>
        <crosses val="autoZero"/>
        <auto val="1"/>
        <lblAlgn val="ctr"/>
        <lblOffset val="100"/>
        <noMultiLvlLbl val="0"/>
      </catAx>
      <valAx>
        <axId val="9340795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#,##0.0;\(#,##0.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8436510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Unknown Author</author>
  </authors>
  <commentList>
    <comment ref="B13" authorId="0" shapeId="0">
      <text>
        <t>Transferencia de tecnologia ja corrigida pelo IPCA: R$110.000 (Fase 1, aceite 09/2027) + R$118.000 (Fase 2, 09/2028) + R$127.000 (Fase 3, 09/2029) = R$355.000.
Valor nominal antes da correcao: R$300.000 (R$100.000 por fase).
Fonte: Project Cost and Revenue Estimation.xlsx, aba 4_Tech_Transfer.</t>
      </text>
    </comment>
    <comment ref="B14" authorId="0" shapeId="0">
      <text>
        <t>Aceite da Fase 1 (09/2027), primeiro dos tres pagamentos. As parcelas de 2028 e 2029 estao somadas no valor total do investimento acima, tratado aqui como desembolso unico para fins de payback.</t>
      </text>
    </comment>
    <comment ref="B15" authorId="0" shapeId="0">
      <text>
        <t>Duracao total do projeto de transferencia de tecnologia (Fases 1 a 3 = 36 meses).</t>
      </text>
    </comment>
    <comment ref="B17" authorId="0" shapeId="0">
      <text>
        <t>Plataforma de geoprocessamento (Google Earth Engine) em escala plena, Fase 3: mensalidade do plano Enterprise Professional US$2.000 + servidor US$120 = US$2.120/mes -&gt; US$25.440/ano x cambio de referencia R$5,80 = R$147.552/ano.
Nao inclui a margem de contingencia de 15% que a fonte reserva para o orcamento do projeto (ver 5_Cost_Summary) — some-a aqui se quiser um cenario mais conservador.
Fonte: Project Cost and Revenue Estimation.xlsx, abas 1_Inputs (I02, I11) e 5_Cost_Summary.</t>
      </text>
    </comment>
    <comment ref="B18" authorId="0" shapeId="0">
      <text>
        <t>A fonte enviada nao tem uma linha de custo de time/desenvolvimento pago por ano (o modelo custeia apenas a plataforma GEE e o servidor) — deixado em branco por instrucao direta. Preencher manualmente se houver equipe dedicada ao produto.</t>
      </text>
    </comment>
    <comment ref="B20" authorId="0" shapeId="0">
      <text>
        <t>Consumo de EECU acima da franquia do plano GEE, em escala plena: US$500/mes de overage dividido por 3.500 pivos ativos (Fase 3) x 12 meses x cambio R$5,80 = R$9,94/ponto/ano.
Fonte: Project Cost and Revenue Estimation.xlsx, abas 1_Inputs (I08) e 3_Phase_Costs (Fase 3).</t>
      </text>
    </comment>
    <comment ref="B21" authorId="0" shapeId="0">
      <text>
        <t>Mesmo overage do GEE (US$500/mes a 3.500 pivos), convertido por hectare usando 70 ha/pivo: US$500 x12 / (3.500 x 70) x cambio R$5,80 = R$0,14/ha/ano.
Fonte: Project Cost and Revenue Estimation.xlsx (overage) — a media de 70 ha/pivo e a mesma que a fonte usa em 5_Cost_Summary para converter custo por pivo em custo por hectare.</t>
      </text>
    </comment>
    <comment ref="B22" authorId="0" shapeId="0">
      <text>
        <t>Media de referencia usada na propria fonte (5_Cost_Summary) para converter custo por pivo em custo por hectare. Ajuste para o perfil real da carteira, se tiver um numero melhor.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11</col>
      <colOff>0</colOff>
      <row>10</row>
      <rowOff>551160</rowOff>
    </from>
    <to>
      <col>22</col>
      <colOff>472680</colOff>
      <row>37</row>
      <rowOff>56520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www.infoteca.cnptia.embrapa.br/infoteca/handle/doc/1167756" TargetMode="External" Id="rId1"/><Relationship Type="http://schemas.openxmlformats.org/officeDocument/2006/relationships/hyperlink" Target="https://www.infoteca.cnptia.embrapa.br/infoteca/handle/doc/1167756" TargetMode="External" Id="rId2"/><Relationship Type="http://schemas.openxmlformats.org/officeDocument/2006/relationships/hyperlink" Target="https://data.nass.usda.gov/Newsroom/printable/2024/10-31-2024.pdf" TargetMode="External" Id="rId3"/><Relationship Type="http://schemas.openxmlformats.org/officeDocument/2006/relationships/hyperlink" Target="https://en.wikipedia.org/wiki/List_of_countries_by_irrigated_land_area" TargetMode="External" Id="rId4"/><Relationship Type="http://schemas.openxmlformats.org/officeDocument/2006/relationships/hyperlink" Target="https://www.bauer-br.com/pt/cosmofield/" TargetMode="External" Id="rId5"/><Relationship Type="http://schemas.openxmlformats.org/officeDocument/2006/relationships/hyperlink" Target="https://hubble.com/community/comparisons/aws-iot-core-vs-azure-iot-hub-pricing-what-10-000-devices-actually-costs/" TargetMode="External" Id="rId6"/><Relationship Type="http://schemas.openxmlformats.org/officeDocument/2006/relationships/hyperlink" Target="https://zuplo.com/learning-center/api-gateway-pricing-comparison-2026" TargetMode="External" Id="rId7"/><Relationship Type="http://schemas.openxmlformats.org/officeDocument/2006/relationships/hyperlink" Target="https://zuplo.com/blog/8-types-of-api-pricing-models" TargetMode="External" Id="rId8"/><Relationship Type="http://schemas.openxmlformats.org/officeDocument/2006/relationships/hyperlink" Target="https://www.salario.com.br/profissao/desenvolvedor-back-end/" TargetMode="External" Id="rId9"/><Relationship Type="http://schemas.openxmlformats.org/officeDocument/2006/relationships/hyperlink" Target="https://documents1.worldbank.org/curated/en/099062524074575405/pdf/P18019816676490c1b4fc1484bbd031258.pdf" TargetMode="External" Id="rId10"/><Relationship Type="http://schemas.openxmlformats.org/officeDocument/2006/relationships/hyperlink" Target="https://iraq.un.org/en/310310-fao-and-ministry-water-resources-inaugurate-model-projects-enhance-irrigation-water-use" TargetMode="External" Id="rId11"/><Relationship Type="http://schemas.openxmlformats.org/officeDocument/2006/relationships/hyperlink" Target="https://irricontrol.com.br/home/" TargetMode="External" Id="rId12"/></Relationships>
</file>

<file path=xl/worksheets/sheet1.xml><?xml version="1.0" encoding="utf-8"?>
<worksheet xmlns="http://schemas.openxmlformats.org/spreadsheetml/2006/main">
  <sheetPr filterMode="0">
    <tabColor rgb="FF1F6B3B"/>
    <outlinePr summaryBelow="1" summaryRight="1"/>
    <pageSetUpPr fitToPage="0"/>
  </sheetPr>
  <dimension ref="A1:K8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0" customWidth="1" style="67" min="1" max="1"/>
    <col width="16" customWidth="1" style="67" min="2" max="2"/>
    <col width="18" customWidth="1" style="67" min="3" max="3"/>
    <col width="62" customWidth="1" style="67" min="4" max="4"/>
    <col width="14" customWidth="1" style="67" min="5" max="5"/>
    <col width="16" customWidth="1" style="67" min="6" max="6"/>
    <col width="20" customWidth="1" style="67" min="7" max="7"/>
    <col width="26" customWidth="1" style="67" min="8" max="8"/>
    <col width="14" customWidth="1" style="67" min="9" max="9"/>
    <col width="12" customWidth="1" style="67" min="10" max="10"/>
    <col width="14" customWidth="1" style="67" min="11" max="11"/>
  </cols>
  <sheetData>
    <row r="1" ht="17.35" customHeight="1" s="68">
      <c r="A1" s="69" t="inlineStr">
        <is>
          <t>Premissas</t>
        </is>
      </c>
    </row>
    <row r="2" ht="15" customHeight="1" s="68">
      <c r="A2" s="70" t="inlineStr">
        <is>
          <t>Substitua os valores em azul. Fundo amarelo = premissa critica ou celula aguardando o seu numero. Fundo verde-claro = total calculado.</t>
        </is>
      </c>
    </row>
    <row r="4" ht="15" customHeight="1" s="68">
      <c r="A4" s="71" t="inlineStr">
        <is>
          <t>Parametro</t>
        </is>
      </c>
      <c r="B4" s="71" t="inlineStr">
        <is>
          <t>Valor</t>
        </is>
      </c>
      <c r="C4" s="71" t="inlineStr">
        <is>
          <t>Unidade</t>
        </is>
      </c>
      <c r="D4" s="71" t="inlineStr">
        <is>
          <t>Nota</t>
        </is>
      </c>
    </row>
    <row r="6" ht="15" customHeight="1" s="68">
      <c r="A6" s="72" t="inlineStr">
        <is>
          <t>1. BASE DE PONTOS NO ESCOPO</t>
        </is>
      </c>
      <c r="B6" s="73" t="n"/>
      <c r="C6" s="73" t="n"/>
      <c r="D6" s="73" t="n"/>
    </row>
    <row r="7" ht="15" customHeight="1" s="68">
      <c r="A7" s="74" t="inlineStr">
        <is>
          <t>Ano-base (Ano 1)</t>
        </is>
      </c>
      <c r="B7" s="75" t="n">
        <v>2026</v>
      </c>
      <c r="C7" s="76" t="inlineStr">
        <is>
          <t>ano</t>
        </is>
      </c>
      <c r="D7" s="76" t="inlineStr">
        <is>
          <t>Todas as projecoes partem daqui</t>
        </is>
      </c>
    </row>
    <row r="8" ht="15" customHeight="1" s="68">
      <c r="A8" s="74" t="inlineStr">
        <is>
          <t>Pontos de pivo (Nexus + SmartConnect combinados)</t>
        </is>
      </c>
      <c r="B8" s="77" t="n">
        <v>3800</v>
      </c>
      <c r="C8" s="76" t="inlineStr">
        <is>
          <t>pontos</t>
        </is>
      </c>
      <c r="D8" s="76" t="inlineStr">
        <is>
          <t>Informado por William em 02/set/2026. Banco de dados (Notion, BILLING BUSINESS MODEL, ago/2026) registra 3.847 — reconciliar quando o corte de dados coincidir.</t>
        </is>
      </c>
    </row>
    <row r="9" ht="15" customHeight="1" s="68">
      <c r="A9" s="74" t="inlineStr">
        <is>
          <t>Anuidade do ponto de pivo</t>
        </is>
      </c>
      <c r="B9" s="78" t="n">
        <v>1200</v>
      </c>
      <c r="C9" s="76" t="inlineStr">
        <is>
          <t>R$/ponto/ano</t>
        </is>
      </c>
      <c r="D9" s="76" t="inlineStr">
        <is>
          <t>Preco de tabela Brasil (proposta Helton, 2024). Sem desconto de volume.</t>
        </is>
      </c>
    </row>
    <row r="10" ht="15" customHeight="1" s="68">
      <c r="A10" s="74" t="inlineStr">
        <is>
          <t>Pontos de Irripump</t>
        </is>
      </c>
      <c r="B10" s="77" t="n">
        <v>803</v>
      </c>
      <c r="C10" s="76" t="inlineStr">
        <is>
          <t>pontos</t>
        </is>
      </c>
      <c r="D10" s="76" t="inlineStr">
        <is>
          <t>Informado por William em 02/set/2026 (confere com Notion, ago/2026).</t>
        </is>
      </c>
    </row>
    <row r="11" ht="15" customHeight="1" s="68">
      <c r="A11" s="74" t="inlineStr">
        <is>
          <t>Anuidade do ponto de Irripump</t>
        </is>
      </c>
      <c r="B11" s="78" t="n">
        <v>800</v>
      </c>
      <c r="C11" s="76" t="inlineStr">
        <is>
          <t>R$/ponto/ano</t>
        </is>
      </c>
      <c r="D11" s="76" t="inlineStr">
        <is>
          <t>Novo no escopo — antes faturado fora desta analise.</t>
        </is>
      </c>
    </row>
    <row r="12" ht="15" customHeight="1" s="68">
      <c r="A12" s="74" t="inlineStr">
        <is>
          <t>Pontos de medidor de nivel</t>
        </is>
      </c>
      <c r="B12" s="77" t="n">
        <v>172</v>
      </c>
      <c r="C12" s="76" t="inlineStr">
        <is>
          <t>pontos</t>
        </is>
      </c>
      <c r="D12" s="76" t="inlineStr">
        <is>
          <t>Informado por William em 02/set/2026 (confere com Notion, ago/2026).</t>
        </is>
      </c>
    </row>
    <row r="13" ht="15" customHeight="1" s="68">
      <c r="A13" s="74" t="inlineStr">
        <is>
          <t>Anuidade do ponto de medidor de nivel</t>
        </is>
      </c>
      <c r="B13" s="78" t="n">
        <v>800</v>
      </c>
      <c r="C13" s="76" t="inlineStr">
        <is>
          <t>R$/ponto/ano</t>
        </is>
      </c>
      <c r="D13" s="76" t="inlineStr">
        <is>
          <t>Novo no escopo — antes faturado fora desta analise.</t>
        </is>
      </c>
    </row>
    <row r="14" ht="15" customHeight="1" s="68">
      <c r="A14" s="74" t="inlineStr">
        <is>
          <t>Total de pontos no escopo</t>
        </is>
      </c>
      <c r="B14" s="79">
        <f>B8+B10+B12</f>
        <v/>
      </c>
      <c r="C14" s="76" t="inlineStr">
        <is>
          <t>pontos</t>
        </is>
      </c>
      <c r="D14" s="76" t="inlineStr">
        <is>
          <t>Pivo + Irripump + medidor de nivel — os tres produtos agora geram anuidade de plataforma.</t>
        </is>
      </c>
    </row>
    <row r="15" ht="15" customHeight="1" s="68">
      <c r="A15" s="74" t="inlineStr">
        <is>
          <t>Receita teorica do ano-base (total)</t>
        </is>
      </c>
      <c r="B15" s="80">
        <f>B8*B9+B10*B11+B12*B13</f>
        <v/>
      </c>
      <c r="C15" s="76" t="inlineStr">
        <is>
          <t>R$</t>
        </is>
      </c>
      <c r="D15" s="76" t="inlineStr">
        <is>
          <t>Soma dos tres produtos, ao preco de tabela cheio.</t>
        </is>
      </c>
    </row>
    <row r="16" ht="15" customHeight="1" s="68">
      <c r="A16" s="74" t="inlineStr">
        <is>
          <t>Receita efetivamente recebida no ano-base (referencia real)</t>
        </is>
      </c>
      <c r="B16" s="78" t="n">
        <v>1841996</v>
      </c>
      <c r="C16" s="76" t="inlineStr">
        <is>
          <t>R$</t>
        </is>
      </c>
      <c r="D16" s="76" t="inlineStr">
        <is>
          <t>Stripe charge jan-ago/2026 = R$1.227.997, anualizado (÷8×12). Fonte: Notion, BILLING BUSINESS MODEL, 01/set/2026. Substitua pelo fechado do ano quando tiver.</t>
        </is>
      </c>
    </row>
    <row r="17" ht="15" customHeight="1" s="68">
      <c r="A17" s="74" t="inlineStr">
        <is>
          <t>Novos entrantes por ano (pontos, total combinado)</t>
        </is>
      </c>
      <c r="B17" s="77" t="n">
        <v>250</v>
      </c>
      <c r="C17" s="76" t="inlineStr">
        <is>
          <t>pontos/ano</t>
        </is>
      </c>
      <c r="D17" s="76" t="inlineStr">
        <is>
          <t>Pontos novos vendidos a cada ano, nos tres produtos.</t>
        </is>
      </c>
    </row>
    <row r="18" ht="15" customHeight="1" s="68">
      <c r="A18" s="74" t="inlineStr">
        <is>
          <t>Crescimento dos novos entrantes</t>
        </is>
      </c>
      <c r="B18" s="81" t="n">
        <v>0</v>
      </c>
      <c r="C18" s="76" t="inlineStr">
        <is>
          <t>% a.a.</t>
        </is>
      </c>
      <c r="D18" s="76" t="inlineStr">
        <is>
          <t>Zero mantem o mesmo volume de entrantes ao longo do horizonte.</t>
        </is>
      </c>
    </row>
    <row r="19" ht="15" customHeight="1" s="68">
      <c r="A19" s="74" t="inlineStr">
        <is>
          <t>Churn anual da base</t>
        </is>
      </c>
      <c r="B19" s="82" t="n">
        <v>0.03</v>
      </c>
      <c r="C19" s="76" t="inlineStr">
        <is>
          <t>% a.a.</t>
        </is>
      </c>
      <c r="D19" s="76" t="inlineStr">
        <is>
          <t>Pontos que saem da plataforma.</t>
        </is>
      </c>
    </row>
    <row r="20" ht="15" customHeight="1" s="68">
      <c r="A20" s="74" t="inlineStr">
        <is>
          <t>Reajuste anual de preco</t>
        </is>
      </c>
      <c r="B20" s="81" t="n">
        <v>0.05</v>
      </c>
      <c r="C20" s="76" t="inlineStr">
        <is>
          <t>% a.a.</t>
        </is>
      </c>
      <c r="D20" s="76" t="inlineStr">
        <is>
          <t>Indice contratual, aplicado a anuidade de todos os produtos.</t>
        </is>
      </c>
    </row>
    <row r="22" ht="15" customHeight="1" s="68">
      <c r="A22" s="72" t="inlineStr">
        <is>
          <t>2. DESCONTOS E COBRANCA</t>
        </is>
      </c>
      <c r="B22" s="73" t="n"/>
      <c r="C22" s="73" t="n"/>
      <c r="D22" s="73" t="n"/>
    </row>
    <row r="23" ht="15" customHeight="1" s="68">
      <c r="A23" s="70" t="inlineStr">
        <is>
          <t>Duas tabelas de referencia global (imagem enviada por William, 02/set/2026 — mesmos dados da Notion BILLING BUSINESS MODEL) e as premissas de desconto praticadas hoje no Brasil.</t>
        </is>
      </c>
    </row>
    <row r="25" ht="15" customHeight="1" s="68">
      <c r="A25" s="70" t="inlineStr">
        <is>
          <t>Tabela global — desconto por volume x prazo, sobre o preco cheio do ano 1 (referencia)</t>
        </is>
      </c>
    </row>
    <row r="26" ht="15" customHeight="1" s="68">
      <c r="A26" s="71" t="inlineStr">
        <is>
          <t>Faixa de dispositivos</t>
        </is>
      </c>
      <c r="B26" s="71" t="inlineStr">
        <is>
          <t>1 ano</t>
        </is>
      </c>
      <c r="C26" s="71" t="inlineStr">
        <is>
          <t>2 anos</t>
        </is>
      </c>
      <c r="D26" s="71" t="inlineStr">
        <is>
          <t>3 anos</t>
        </is>
      </c>
    </row>
    <row r="27" ht="15" customHeight="1" s="68">
      <c r="A27" s="74" t="inlineStr">
        <is>
          <t>1 - 10</t>
        </is>
      </c>
      <c r="B27" s="83" t="n">
        <v>0</v>
      </c>
      <c r="C27" s="83" t="n">
        <v>0.11</v>
      </c>
      <c r="D27" s="83" t="n">
        <v>0.23</v>
      </c>
    </row>
    <row r="28" ht="15" customHeight="1" s="68">
      <c r="A28" s="74" t="inlineStr">
        <is>
          <t>11 - 20</t>
        </is>
      </c>
      <c r="B28" s="83" t="n">
        <v>0.05</v>
      </c>
      <c r="C28" s="83" t="n">
        <v>0.16</v>
      </c>
      <c r="D28" s="83" t="n">
        <v>0.27</v>
      </c>
    </row>
    <row r="29" ht="15" customHeight="1" s="68">
      <c r="A29" s="74" t="inlineStr">
        <is>
          <t>21 - 30</t>
        </is>
      </c>
      <c r="B29" s="83" t="n">
        <v>0.11</v>
      </c>
      <c r="C29" s="83" t="n">
        <v>0.21</v>
      </c>
      <c r="D29" s="83" t="n">
        <v>0.31</v>
      </c>
    </row>
    <row r="30" ht="15" customHeight="1" s="68">
      <c r="A30" s="74" t="inlineStr">
        <is>
          <t>31 - 40</t>
        </is>
      </c>
      <c r="B30" s="83" t="n">
        <v>0.17</v>
      </c>
      <c r="C30" s="83" t="n">
        <v>0.26</v>
      </c>
      <c r="D30" s="83" t="n">
        <v>0.36</v>
      </c>
    </row>
    <row r="31" ht="15" customHeight="1" s="68">
      <c r="A31" s="74" t="inlineStr">
        <is>
          <t>41 - 50</t>
        </is>
      </c>
      <c r="B31" s="83" t="n">
        <v>0.24</v>
      </c>
      <c r="C31" s="83" t="n">
        <v>0.33</v>
      </c>
      <c r="D31" s="83" t="n">
        <v>0.41</v>
      </c>
    </row>
    <row r="33" ht="15" customHeight="1" s="68">
      <c r="A33" s="70" t="inlineStr">
        <is>
          <t>Tabela global — preco total do contrato por device (USD), conforme duracao (referencia)</t>
        </is>
      </c>
    </row>
    <row r="34" ht="15" customHeight="1" s="68">
      <c r="A34" s="71" t="inlineStr">
        <is>
          <t>Faixa de dispositivos</t>
        </is>
      </c>
      <c r="B34" s="71" t="inlineStr">
        <is>
          <t>1 ano</t>
        </is>
      </c>
      <c r="C34" s="71" t="inlineStr">
        <is>
          <t>2 anos (total)</t>
        </is>
      </c>
      <c r="D34" s="71" t="inlineStr">
        <is>
          <t>3 anos (total)</t>
        </is>
      </c>
    </row>
    <row r="35" ht="15" customHeight="1" s="68">
      <c r="A35" s="74" t="inlineStr">
        <is>
          <t>1 - 10</t>
        </is>
      </c>
      <c r="B35" s="84" t="n">
        <v>220</v>
      </c>
      <c r="C35" s="84" t="n">
        <v>390</v>
      </c>
      <c r="D35" s="84" t="n">
        <v>510</v>
      </c>
    </row>
    <row r="36" ht="15" customHeight="1" s="68">
      <c r="A36" s="74" t="inlineStr">
        <is>
          <t>11 - 20</t>
        </is>
      </c>
      <c r="B36" s="84" t="n">
        <v>209</v>
      </c>
      <c r="C36" s="84" t="n">
        <v>370.5</v>
      </c>
      <c r="D36" s="84" t="n">
        <v>484.5</v>
      </c>
    </row>
    <row r="37" ht="15" customHeight="1" s="68">
      <c r="A37" s="74" t="inlineStr">
        <is>
          <t>21 - 30</t>
        </is>
      </c>
      <c r="B37" s="84" t="n">
        <v>195.8</v>
      </c>
      <c r="C37" s="84" t="n">
        <v>347.1</v>
      </c>
      <c r="D37" s="84" t="n">
        <v>453.9</v>
      </c>
    </row>
    <row r="38" ht="15" customHeight="1" s="68">
      <c r="A38" s="74" t="inlineStr">
        <is>
          <t>31 - 40</t>
        </is>
      </c>
      <c r="B38" s="84" t="n">
        <v>182.6</v>
      </c>
      <c r="C38" s="84" t="n">
        <v>323.7</v>
      </c>
      <c r="D38" s="84" t="n">
        <v>423.3</v>
      </c>
    </row>
    <row r="39" ht="15" customHeight="1" s="68">
      <c r="A39" s="74" t="inlineStr">
        <is>
          <t>41 - 50</t>
        </is>
      </c>
      <c r="B39" s="84" t="n">
        <v>167.2</v>
      </c>
      <c r="C39" s="84" t="n">
        <v>296.4</v>
      </c>
      <c r="D39" s="84" t="n">
        <v>387.6</v>
      </c>
    </row>
    <row r="41" ht="15" customHeight="1" s="68">
      <c r="A41" s="74" t="inlineStr">
        <is>
          <t>Desconto medio no pacote plurianual (Brasil, pratica atual)</t>
        </is>
      </c>
      <c r="B41" s="82" t="n">
        <v>0.2</v>
      </c>
      <c r="C41" s="76" t="inlineStr">
        <is>
          <t>% sobre o cheio</t>
        </is>
      </c>
      <c r="D41" s="76" t="inlineStr">
        <is>
          <t>Negociado caso a caso para evitar o bloqueio de 15 dias. Ver narrativa — a anuidade virou moeda de desconto.</t>
        </is>
      </c>
    </row>
    <row r="42" ht="15" customHeight="1" s="68">
      <c r="A42" s="74" t="inlineStr">
        <is>
          <t>Desconto medio na anuidade avulsa</t>
        </is>
      </c>
      <c r="B42" s="81" t="n">
        <v>0.08</v>
      </c>
      <c r="C42" s="76" t="inlineStr">
        <is>
          <t>% sobre o cheio</t>
        </is>
      </c>
      <c r="D42" s="76" t="inlineStr">
        <is>
          <t>Negociacao caso a caso na renovacao.</t>
        </is>
      </c>
    </row>
    <row r="43" ht="15" customHeight="1" s="68">
      <c r="A43" s="74" t="inlineStr">
        <is>
          <t>Inadimplencia</t>
        </is>
      </c>
      <c r="B43" s="82" t="n">
        <v>0</v>
      </c>
      <c r="C43" s="76" t="inlineStr">
        <is>
          <t>% da receita faturada</t>
        </is>
      </c>
      <c r="D43" s="76" t="inlineStr">
        <is>
          <t>Faturado e nao recebido.</t>
        </is>
      </c>
    </row>
    <row r="44" ht="15" customHeight="1" s="68">
      <c r="A44" s="74" t="inlineStr">
        <is>
          <t>Prazo medio de recebimento</t>
        </is>
      </c>
      <c r="B44" s="85" t="n">
        <v>30</v>
      </c>
      <c r="C44" s="76" t="inlineStr">
        <is>
          <t>dias</t>
        </is>
      </c>
      <c r="D44" s="76" t="inlineStr">
        <is>
          <t>Da emissao ao caixa.</t>
        </is>
      </c>
    </row>
    <row r="45" ht="15" customHeight="1" s="68">
      <c r="A45" s="74" t="inlineStr">
        <is>
          <t>Anos cobertos pelo pacote</t>
        </is>
      </c>
      <c r="B45" s="77" t="n">
        <v>3</v>
      </c>
      <c r="C45" s="76" t="inlineStr">
        <is>
          <t>anos</t>
        </is>
      </c>
      <c r="D45" s="76" t="inlineStr">
        <is>
          <t>Pagamento no ano t cobre t ate t+n-1.</t>
        </is>
      </c>
    </row>
    <row r="47" ht="15" customHeight="1" s="68">
      <c r="A47" s="86" t="inlineStr">
        <is>
          <t>NOTA PARA O ARGUMENTO "NO MUNDO E DIFERENTE, NO BRASIL E DIFERENTE": a tabela global da desconto por VOLUME e por PRAZO — quem compra mais e por mais tempo paga menos. O Brasil, com ~3.800 pontos de pivo (o maior mercado da empresa) e pacotes plurianuais recorrentes, deveria estar no topo dessa curva. Em vez disso, R$1.200/ano equivale a US$211/device (cambio R$5,70), o que cai exatamente no pior tier direto da tabela — 11 a 20 dispositivos, contrato de 1 ano (US$209). Depois de cortesia e pacotes com desconto, o efetivo recebido se aproxima do nivel de DEALER global (US$104). A logica que sustentaria tratar o Brasil diferente aponta para o sentido oposto do que se pratica hoje. Desenvolvimento completo do argumento: ver Narrativa e Roteiro de Perguntas (documentos separados).</t>
        </is>
      </c>
    </row>
    <row r="48" ht="15" customHeight="1" s="68"/>
    <row r="49" ht="15" customHeight="1" s="68"/>
    <row r="50" ht="15" customHeight="1" s="68"/>
    <row r="51" ht="15" customHeight="1" s="68"/>
    <row r="53" ht="15" customHeight="1" s="68">
      <c r="A53" s="72" t="inlineStr">
        <is>
          <t>3. CUSTOS DA OPERACAO</t>
        </is>
      </c>
      <c r="B53" s="73" t="n"/>
      <c r="C53" s="73" t="n"/>
      <c r="D53" s="73" t="n"/>
    </row>
    <row r="54" ht="15" customHeight="1" s="68">
      <c r="A54" s="74" t="inlineStr">
        <is>
          <t>Custo de cloud e conectividade por ponto</t>
        </is>
      </c>
      <c r="B54" s="87" t="n">
        <v>96</v>
      </c>
      <c r="C54" s="76" t="inlineStr">
        <is>
          <t>R$/ponto/ano</t>
        </is>
      </c>
      <c r="D54" s="76" t="inlineStr">
        <is>
          <t>Chip de dados, ingestao, armazenamento e processamento.</t>
        </is>
      </c>
    </row>
    <row r="55" ht="15" customHeight="1" s="68">
      <c r="A55" s="74" t="inlineStr">
        <is>
          <t>Custo de suporte e sucesso do cliente por ponto</t>
        </is>
      </c>
      <c r="B55" s="87" t="n">
        <v>60</v>
      </c>
      <c r="C55" s="76" t="inlineStr">
        <is>
          <t>R$/ponto/ano</t>
        </is>
      </c>
      <c r="D55" s="76" t="inlineStr">
        <is>
          <t>Atendimento, campo e retencao.</t>
        </is>
      </c>
    </row>
    <row r="56" ht="15" customHeight="1" s="68">
      <c r="A56" s="74" t="inlineStr">
        <is>
          <t>Custo fixo da plataforma</t>
        </is>
      </c>
      <c r="B56" s="87" t="n">
        <v>600000</v>
      </c>
      <c r="C56" s="76" t="inlineStr">
        <is>
          <t>R$/ano</t>
        </is>
      </c>
      <c r="D56" s="76" t="inlineStr">
        <is>
          <t>Time de produto, engenharia e infra fixa.</t>
        </is>
      </c>
    </row>
    <row r="57" ht="15" customHeight="1" s="68">
      <c r="A57" s="74" t="inlineStr">
        <is>
          <t>Inflacao de custos</t>
        </is>
      </c>
      <c r="B57" s="81" t="n">
        <v>0.05</v>
      </c>
      <c r="C57" s="76" t="inlineStr">
        <is>
          <t>% a.a.</t>
        </is>
      </c>
      <c r="D57" s="76" t="inlineStr">
        <is>
          <t>Reajuste de folha e fornecedores.</t>
        </is>
      </c>
    </row>
    <row r="58" ht="15" customHeight="1" s="68">
      <c r="A58" s="74" t="inlineStr">
        <is>
          <t>Salario medio de desenvolvedor</t>
        </is>
      </c>
      <c r="B58" s="87" t="n">
        <v>12000</v>
      </c>
      <c r="C58" s="76" t="inlineStr">
        <is>
          <t>R$/mes</t>
        </is>
      </c>
      <c r="D58" s="76" t="inlineStr">
        <is>
          <t>Salario bruto.</t>
        </is>
      </c>
    </row>
    <row r="59" ht="15" customHeight="1" s="68">
      <c r="A59" s="74" t="inlineStr">
        <is>
          <t>Fator de encargos e beneficios (desenvolvedor)</t>
        </is>
      </c>
      <c r="B59" s="88" t="n">
        <v>1.75</v>
      </c>
      <c r="C59" s="76" t="inlineStr">
        <is>
          <t>x</t>
        </is>
      </c>
      <c r="D59" s="76" t="inlineStr">
        <is>
          <t>Encargos, 13o, ferias e beneficios.</t>
        </is>
      </c>
    </row>
    <row r="60" ht="15" customHeight="1" s="68">
      <c r="A60" s="74" t="inlineStr">
        <is>
          <t>Custo anual carregado de um desenvolvedor</t>
        </is>
      </c>
      <c r="B60" s="89">
        <f>B58*B59*12</f>
        <v/>
      </c>
      <c r="C60" s="76" t="inlineStr">
        <is>
          <t>R$/ano</t>
        </is>
      </c>
      <c r="D60" s="76" t="inlineStr">
        <is>
          <t>Referencia para dimensionar o custo das concessoes.</t>
        </is>
      </c>
    </row>
    <row r="62" ht="15" customHeight="1" s="68">
      <c r="A62" s="70" t="inlineStr">
        <is>
          <t>Operacao interna de billing e cobranca (novo)</t>
        </is>
      </c>
    </row>
    <row r="63" ht="15" customHeight="1" s="68">
      <c r="A63" s="74" t="inlineStr">
        <is>
          <t>Salario de operacao interna (billing/cobranca)</t>
        </is>
      </c>
      <c r="B63" s="78" t="n">
        <v>3000</v>
      </c>
      <c r="C63" s="76" t="inlineStr">
        <is>
          <t>R$/mes</t>
        </is>
      </c>
      <c r="D63" s="76" t="inlineStr">
        <is>
          <t>Pessoa que roda cobranca, reconciliacao e contato com o comercial.</t>
        </is>
      </c>
    </row>
    <row r="64" ht="15" customHeight="1" s="68">
      <c r="A64" s="74" t="inlineStr">
        <is>
          <t>Fator de encargos (operacao interna)</t>
        </is>
      </c>
      <c r="B64" s="90" t="n">
        <v>2</v>
      </c>
      <c r="C64" s="76" t="inlineStr">
        <is>
          <t>x</t>
        </is>
      </c>
      <c r="D64" s="76" t="inlineStr">
        <is>
          <t>Encargos, 13o, ferias e beneficios — mais conservador que o de desenvolvedor.</t>
        </is>
      </c>
    </row>
    <row r="65" ht="15" customHeight="1" s="68">
      <c r="A65" s="74" t="inlineStr">
        <is>
          <t>% de tempo alocado ao processo de billing</t>
        </is>
      </c>
      <c r="B65" s="82" t="n">
        <v>0.5</v>
      </c>
      <c r="C65" s="76" t="inlineStr">
        <is>
          <t>% do tempo</t>
        </is>
      </c>
      <c r="D65" s="76" t="inlineStr">
        <is>
          <t>Fracao da jornada dedicada a esta operacao. Ajuste livremente.</t>
        </is>
      </c>
    </row>
    <row r="66" ht="15" customHeight="1" s="68">
      <c r="A66" s="74" t="inlineStr">
        <is>
          <t>Custo anual carregado da operacao de billing</t>
        </is>
      </c>
      <c r="B66" s="89">
        <f>B63*B64*12*B65</f>
        <v/>
      </c>
      <c r="C66" s="76" t="inlineStr">
        <is>
          <t>R$/ano</t>
        </is>
      </c>
      <c r="D66" s="76" t="inlineStr">
        <is>
          <t>Entra no custo total da operacao, junto do custo fixo da plataforma.</t>
        </is>
      </c>
    </row>
    <row r="68" ht="15" customHeight="1" s="68">
      <c r="A68" s="72" t="inlineStr">
        <is>
          <t>4. BONIFICADOS — QUEM ESTA EM CORTESIA</t>
        </is>
      </c>
      <c r="B68" s="73" t="n"/>
      <c r="C68" s="73" t="n"/>
      <c r="D68" s="73" t="n"/>
      <c r="E68" s="73" t="n"/>
      <c r="F68" s="73" t="n"/>
      <c r="G68" s="73" t="n"/>
      <c r="H68" s="73" t="n"/>
    </row>
    <row r="69" ht="15" customHeight="1" s="68">
      <c r="A69" s="70" t="inlineStr">
        <is>
          <t>Por ano, quais clientes foram bonificados e por quantos anos. O modelo calcula quando cada um volta a pagar e quanto isso custa.</t>
        </is>
      </c>
    </row>
    <row r="71" ht="15" customHeight="1" s="68">
      <c r="A71" s="71" t="inlineStr">
        <is>
          <t>Ano</t>
        </is>
      </c>
      <c r="B71" s="71" t="inlineStr">
        <is>
          <t>Cliente</t>
        </is>
      </c>
      <c r="C71" s="71" t="inlineStr">
        <is>
          <t>Produto</t>
        </is>
      </c>
      <c r="D71" s="71" t="inlineStr">
        <is>
          <t>Pontos</t>
        </is>
      </c>
      <c r="E71" s="71" t="inlineStr">
        <is>
          <t>Anos de cortesia</t>
        </is>
      </c>
      <c r="F71" s="71" t="inlineStr">
        <is>
          <t>Ano de termino</t>
        </is>
      </c>
      <c r="G71" s="71" t="inlineStr">
        <is>
          <t>Ainda em cortesia?</t>
        </is>
      </c>
      <c r="H71" s="71" t="inlineStr">
        <is>
          <t>Receita anual quando retornar</t>
        </is>
      </c>
      <c r="J71" s="71" t="inlineStr">
        <is>
          <t>Produto</t>
        </is>
      </c>
      <c r="K71" s="71" t="inlineStr">
        <is>
          <t>Anuidade</t>
        </is>
      </c>
    </row>
    <row r="72" ht="15" customHeight="1" s="68">
      <c r="A72" s="91" t="inlineStr">
        <is>
          <t>2024</t>
        </is>
      </c>
      <c r="B72" s="92" t="inlineStr">
        <is>
          <t>Cliente Exemplo (substituir)</t>
        </is>
      </c>
      <c r="C72" s="92" t="inlineStr">
        <is>
          <t>Pivo</t>
        </is>
      </c>
      <c r="D72" s="77" t="n">
        <v>25</v>
      </c>
      <c r="E72" s="77" t="n">
        <v>3</v>
      </c>
      <c r="F72" s="93">
        <f>IF(A72="","",A72+E72)</f>
        <v/>
      </c>
      <c r="G72" s="74">
        <f>IF(A72="","",IF($B$7&lt;F72,"Sim, ate "&amp;F72,"Ja retornou"))</f>
        <v/>
      </c>
      <c r="H72" s="89">
        <f>IF(A72="","",D72*INDEX($K$72:$K$74,MATCH(C72,$J$72:$J$74,0)))</f>
        <v/>
      </c>
      <c r="J72" s="74" t="inlineStr">
        <is>
          <t>Pivo</t>
        </is>
      </c>
      <c r="K72" s="94">
        <f>B9</f>
        <v/>
      </c>
    </row>
    <row r="73" ht="15" customHeight="1" s="68">
      <c r="A73" s="75" t="n"/>
      <c r="B73" s="95" t="n"/>
      <c r="C73" s="95" t="n"/>
      <c r="D73" s="85" t="n"/>
      <c r="E73" s="85" t="n"/>
      <c r="F73" s="93">
        <f>IF(A73="","",A73+E73)</f>
        <v/>
      </c>
      <c r="G73" s="74">
        <f>IF(A73="","",IF($B$7&lt;F73,"Sim, ate "&amp;F73,"Ja retornou"))</f>
        <v/>
      </c>
      <c r="H73" s="89">
        <f>IF(A73="","",D73*INDEX($K$72:$K$74,MATCH(C73,$J$72:$J$74,0)))</f>
        <v/>
      </c>
      <c r="J73" s="74" t="inlineStr">
        <is>
          <t>Irripump</t>
        </is>
      </c>
      <c r="K73" s="94">
        <f>B11</f>
        <v/>
      </c>
    </row>
    <row r="74" ht="15" customHeight="1" s="68">
      <c r="A74" s="75" t="n"/>
      <c r="B74" s="95" t="n"/>
      <c r="C74" s="95" t="n"/>
      <c r="D74" s="85" t="n"/>
      <c r="E74" s="85" t="n"/>
      <c r="F74" s="93">
        <f>IF(A74="","",A74+E74)</f>
        <v/>
      </c>
      <c r="G74" s="74">
        <f>IF(A74="","",IF($B$7&lt;F74,"Sim, ate "&amp;F74,"Ja retornou"))</f>
        <v/>
      </c>
      <c r="H74" s="89">
        <f>IF(A74="","",D74*INDEX($K$72:$K$74,MATCH(C74,$J$72:$J$74,0)))</f>
        <v/>
      </c>
      <c r="J74" s="74" t="inlineStr">
        <is>
          <t>Medidor</t>
        </is>
      </c>
      <c r="K74" s="94">
        <f>B13</f>
        <v/>
      </c>
    </row>
    <row r="75" ht="15" customHeight="1" s="68">
      <c r="A75" s="75" t="n"/>
      <c r="B75" s="95" t="n"/>
      <c r="C75" s="95" t="n"/>
      <c r="D75" s="85" t="n"/>
      <c r="E75" s="85" t="n"/>
      <c r="F75" s="93">
        <f>IF(A75="","",A75+E75)</f>
        <v/>
      </c>
      <c r="G75" s="74">
        <f>IF(A75="","",IF($B$7&lt;F75,"Sim, ate "&amp;F75,"Ja retornou"))</f>
        <v/>
      </c>
      <c r="H75" s="89">
        <f>IF(A75="","",D75*INDEX($K$72:$K$74,MATCH(C75,$J$72:$J$74,0)))</f>
        <v/>
      </c>
    </row>
    <row r="76" ht="15" customHeight="1" s="68">
      <c r="A76" s="75" t="n"/>
      <c r="B76" s="95" t="n"/>
      <c r="C76" s="95" t="n"/>
      <c r="D76" s="85" t="n"/>
      <c r="E76" s="85" t="n"/>
      <c r="F76" s="93">
        <f>IF(A76="","",A76+E76)</f>
        <v/>
      </c>
      <c r="G76" s="74">
        <f>IF(A76="","",IF($B$7&lt;F76,"Sim, ate "&amp;F76,"Ja retornou"))</f>
        <v/>
      </c>
      <c r="H76" s="89">
        <f>IF(A76="","",D76*INDEX($K$72:$K$74,MATCH(C76,$J$72:$J$74,0)))</f>
        <v/>
      </c>
    </row>
    <row r="77" ht="15" customHeight="1" s="68">
      <c r="A77" s="75" t="n"/>
      <c r="B77" s="95" t="n"/>
      <c r="C77" s="95" t="n"/>
      <c r="D77" s="85" t="n"/>
      <c r="E77" s="85" t="n"/>
      <c r="F77" s="93">
        <f>IF(A77="","",A77+E77)</f>
        <v/>
      </c>
      <c r="G77" s="74">
        <f>IF(A77="","",IF($B$7&lt;F77,"Sim, ate "&amp;F77,"Ja retornou"))</f>
        <v/>
      </c>
      <c r="H77" s="89">
        <f>IF(A77="","",D77*INDEX($K$72:$K$74,MATCH(C77,$J$72:$J$74,0)))</f>
        <v/>
      </c>
    </row>
    <row r="78" ht="15" customHeight="1" s="68">
      <c r="B78" s="96" t="inlineStr">
        <is>
          <t>Total em cortesia</t>
        </is>
      </c>
      <c r="D78" s="79">
        <f>SUM(D72:D77)</f>
        <v/>
      </c>
      <c r="H78" s="80">
        <f>SUM(H72:H77)</f>
        <v/>
      </c>
    </row>
    <row r="80" ht="15" customHeight="1" s="68">
      <c r="A80" s="74" t="inlineStr">
        <is>
          <t>Fatia da base em cortesia hoje</t>
        </is>
      </c>
      <c r="B80" s="97">
        <f>D78/B14</f>
        <v/>
      </c>
      <c r="C80" s="76" t="inlineStr">
        <is>
          <t>% dos pontos no escopo</t>
        </is>
      </c>
      <c r="D80" s="76" t="inlineStr">
        <is>
          <t>Percentual dos pontos totais que hoje estao ativos e nao pagam.</t>
        </is>
      </c>
    </row>
    <row r="81" ht="15" customHeight="1" s="68">
      <c r="A81" s="74" t="inlineStr">
        <is>
          <t>Receita renunciada no ano corrente</t>
        </is>
      </c>
      <c r="B81" s="89">
        <f>H78</f>
        <v/>
      </c>
      <c r="C81" s="76" t="inlineStr">
        <is>
          <t>R$</t>
        </is>
      </c>
      <c r="D81" s="76" t="inlineStr">
        <is>
          <t>Custo anual da politica de cortesia hoje, pela tabela acima.</t>
        </is>
      </c>
    </row>
    <row r="82" ht="15" customHeight="1" s="68">
      <c r="A82" s="74" t="inlineStr">
        <is>
          <t>Equivalente em desenvolvedores por ano</t>
        </is>
      </c>
      <c r="B82" s="98">
        <f>H78/B60</f>
        <v/>
      </c>
      <c r="C82" s="76" t="inlineStr">
        <is>
          <t>desenvolvedores</t>
        </is>
      </c>
      <c r="D82" s="76" t="inlineStr">
        <is>
          <t>Quantas cadeiras de engenharia a cortesia financia hoje.</t>
        </is>
      </c>
    </row>
  </sheetData>
  <mergeCells count="1">
    <mergeCell ref="A47:D5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1F6B3B"/>
    <outlinePr summaryBelow="1" summaryRight="1"/>
    <pageSetUpPr fitToPage="0"/>
  </sheetPr>
  <dimension ref="A1:G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67" min="1" max="1"/>
    <col width="24" customWidth="1" style="67" min="2" max="2"/>
    <col width="14" customWidth="1" style="67" min="3" max="3"/>
    <col width="16" customWidth="1" style="67" min="4" max="4"/>
    <col width="18" customWidth="1" style="67" min="5" max="5"/>
    <col width="12" customWidth="1" style="67" min="6" max="6"/>
    <col width="54" customWidth="1" style="67" min="7" max="7"/>
  </cols>
  <sheetData>
    <row r="1" ht="17.35" customHeight="1" s="68">
      <c r="A1" s="69" t="inlineStr">
        <is>
          <t>Base de pontos</t>
        </is>
      </c>
    </row>
    <row r="2" ht="15" customHeight="1" s="68">
      <c r="A2" s="70" t="inlineStr">
        <is>
          <t>A anuidade e cobrada por equipamento Irricontrol. Pivo, Irripump e medidor de nivel agora entram todos no escopo desta analise.</t>
        </is>
      </c>
    </row>
    <row r="4" ht="15" customHeight="1" s="68">
      <c r="A4" s="72" t="inlineStr">
        <is>
          <t>PONTOS NO ESCOPO DA ANALISE</t>
        </is>
      </c>
      <c r="B4" s="73" t="n"/>
      <c r="C4" s="73" t="n"/>
      <c r="D4" s="73" t="n"/>
    </row>
    <row r="5" ht="15" customHeight="1" s="68">
      <c r="A5" s="71" t="inlineStr">
        <is>
          <t>Produto</t>
        </is>
      </c>
      <c r="B5" s="71" t="inlineStr">
        <is>
          <t>Aplicacao</t>
        </is>
      </c>
      <c r="C5" s="71" t="inlineStr">
        <is>
          <t>Pontos</t>
        </is>
      </c>
      <c r="D5" s="71" t="inlineStr">
        <is>
          <t>Anuidade</t>
        </is>
      </c>
      <c r="E5" s="71" t="inlineStr">
        <is>
          <t>Receita teorica</t>
        </is>
      </c>
      <c r="F5" s="71" t="inlineStr">
        <is>
          <t>% da base</t>
        </is>
      </c>
      <c r="G5" s="71" t="inlineStr">
        <is>
          <t>Observacao</t>
        </is>
      </c>
    </row>
    <row r="6" ht="15" customHeight="1" s="68">
      <c r="A6" s="96" t="inlineStr">
        <is>
          <t>Pivo (Nexus + SmartConnect)</t>
        </is>
      </c>
      <c r="B6" s="74" t="inlineStr">
        <is>
          <t>Pivo retrofitado e pivo novo</t>
        </is>
      </c>
      <c r="C6" s="99">
        <f>Premissas!$B$8</f>
        <v/>
      </c>
      <c r="D6" s="94">
        <f>Premissas!$B$9</f>
        <v/>
      </c>
      <c r="E6" s="89">
        <f>C6*D6</f>
        <v/>
      </c>
      <c r="F6" s="97">
        <f>C6/$C$9</f>
        <v/>
      </c>
      <c r="G6" s="76" t="inlineStr">
        <is>
          <t>Painel instalado em pivo existente ou pivo novo ja conectado de fabrica</t>
        </is>
      </c>
    </row>
    <row r="7" ht="15" customHeight="1" s="68">
      <c r="A7" s="96" t="inlineStr">
        <is>
          <t>Irripump</t>
        </is>
      </c>
      <c r="B7" s="74" t="inlineStr">
        <is>
          <t>Bombeamento e transposicao</t>
        </is>
      </c>
      <c r="C7" s="99">
        <f>Premissas!$B$10</f>
        <v/>
      </c>
      <c r="D7" s="94">
        <f>Premissas!$B$11</f>
        <v/>
      </c>
      <c r="E7" s="89">
        <f>C7*D7</f>
        <v/>
      </c>
      <c r="F7" s="97">
        <f>C7/$C$9</f>
        <v/>
      </c>
      <c r="G7" s="76" t="inlineStr">
        <is>
          <t>Gestao de captacao e recalque — agora dentro do escopo de anuidade</t>
        </is>
      </c>
    </row>
    <row r="8" ht="15" customHeight="1" s="68">
      <c r="A8" s="96" t="inlineStr">
        <is>
          <t>Medidor de nivel</t>
        </is>
      </c>
      <c r="B8" s="74" t="inlineStr">
        <is>
          <t>Poco e reservatorio</t>
        </is>
      </c>
      <c r="C8" s="99">
        <f>Premissas!$B$12</f>
        <v/>
      </c>
      <c r="D8" s="94">
        <f>Premissas!$B$13</f>
        <v/>
      </c>
      <c r="E8" s="89">
        <f>C8*D8</f>
        <v/>
      </c>
      <c r="F8" s="97">
        <f>C8/$C$9</f>
        <v/>
      </c>
      <c r="G8" s="76" t="inlineStr">
        <is>
          <t>Medicao de nivel em tempo real — agora dentro do escopo de anuidade</t>
        </is>
      </c>
    </row>
    <row r="9" ht="15" customHeight="1" s="68">
      <c r="A9" s="96" t="inlineStr">
        <is>
          <t>Total no escopo</t>
        </is>
      </c>
      <c r="C9" s="79">
        <f>SUM(C6:C8)</f>
        <v/>
      </c>
      <c r="E9" s="80">
        <f>SUM(E6:E8)</f>
        <v/>
      </c>
      <c r="F9" s="100">
        <f>C9/$C$9</f>
        <v/>
      </c>
      <c r="G9" s="76" t="inlineStr">
        <is>
          <t>Todos os produtos com anuidade agora somam este total</t>
        </is>
      </c>
    </row>
    <row r="11" ht="15" customHeight="1" s="68">
      <c r="A11" s="72" t="inlineStr">
        <is>
          <t>EVOLUCAO DA BASE NO ESCOPO</t>
        </is>
      </c>
      <c r="B11" s="73" t="n"/>
      <c r="C11" s="73" t="n"/>
      <c r="D11" s="73" t="n"/>
    </row>
    <row r="12" ht="15" customHeight="1" s="68">
      <c r="A12" s="71" t="inlineStr">
        <is>
          <t>Indicador</t>
        </is>
      </c>
      <c r="B12" s="71" t="inlineStr">
        <is>
          <t>Valor</t>
        </is>
      </c>
      <c r="C12" s="71" t="n"/>
      <c r="D12" s="71" t="n"/>
      <c r="E12" s="71" t="n"/>
      <c r="F12" s="71" t="n"/>
      <c r="G12" s="71" t="inlineStr">
        <is>
          <t>Leitura</t>
        </is>
      </c>
    </row>
    <row r="13" ht="15" customHeight="1" s="68">
      <c r="A13" s="74" t="inlineStr">
        <is>
          <t>Pontos no inicio do ano-base</t>
        </is>
      </c>
      <c r="B13" s="101">
        <f>C9</f>
        <v/>
      </c>
      <c r="G13" s="76" t="inlineStr">
        <is>
          <t>Base instalada de partida, nos tres produtos</t>
        </is>
      </c>
    </row>
    <row r="14" ht="15" customHeight="1" s="68">
      <c r="A14" s="74" t="inlineStr">
        <is>
          <t>Novos entrantes por ano</t>
        </is>
      </c>
      <c r="B14" s="99">
        <f>Premissas!$B$17</f>
        <v/>
      </c>
      <c r="G14" s="76" t="inlineStr">
        <is>
          <t>Ritmo comercial assumido</t>
        </is>
      </c>
    </row>
    <row r="15" ht="15" customHeight="1" s="68">
      <c r="A15" s="74" t="inlineStr">
        <is>
          <t>Churn anual</t>
        </is>
      </c>
      <c r="B15" s="102">
        <f>Premissas!$B$19</f>
        <v/>
      </c>
      <c r="G15" s="76" t="inlineStr">
        <is>
          <t>Pontos que saem da plataforma</t>
        </is>
      </c>
    </row>
    <row r="16" ht="15" customHeight="1" s="68">
      <c r="A16" s="74" t="inlineStr">
        <is>
          <t>Crescimento liquido no primeiro ano</t>
        </is>
      </c>
      <c r="B16" s="101">
        <f>B14-B13*B15</f>
        <v/>
      </c>
      <c r="G16" s="76" t="inlineStr">
        <is>
          <t>Entrantes menos saidas</t>
        </is>
      </c>
    </row>
    <row r="17" ht="15" customHeight="1" s="68">
      <c r="A17" s="74" t="inlineStr">
        <is>
          <t>Crescimento liquido em percentual</t>
        </is>
      </c>
      <c r="B17" s="97">
        <f>B16/B13</f>
        <v/>
      </c>
      <c r="G17" s="76" t="inlineStr">
        <is>
          <t>Ritmo de expansao da base</t>
        </is>
      </c>
    </row>
    <row r="18" ht="15" customHeight="1" s="68">
      <c r="A18" s="74" t="inlineStr">
        <is>
          <t>Pontos ao fim do ano 1</t>
        </is>
      </c>
      <c r="B18" s="101">
        <f>B13+B16</f>
        <v/>
      </c>
      <c r="G18" s="76" t="inlineStr">
        <is>
          <t>Base de saida do primeiro ano</t>
        </is>
      </c>
    </row>
    <row r="19" ht="15" customHeight="1" s="68">
      <c r="A19" s="74" t="inlineStr">
        <is>
          <t>Anos para dobrar a base</t>
        </is>
      </c>
      <c r="B19" s="98">
        <f>IF(B17&lt;=0,"n/a",LN(2)/LN(1+B17))</f>
        <v/>
      </c>
      <c r="G19" s="76" t="inlineStr">
        <is>
          <t>Mantido o ritmo atual de entrada e saida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12558C"/>
    <outlinePr summaryBelow="1" summaryRight="1"/>
    <pageSetUpPr fitToPage="0"/>
  </sheetPr>
  <dimension ref="A1:H4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A1" activeCellId="0" sqref="A1"/>
    </sheetView>
  </sheetViews>
  <sheetFormatPr baseColWidth="8" defaultColWidth="8.6796875" defaultRowHeight="15" zeroHeight="0" outlineLevelRow="0"/>
  <cols>
    <col width="46" customWidth="1" style="67" min="1" max="1"/>
    <col width="16" customWidth="1" style="67" min="2" max="2"/>
    <col width="14" customWidth="1" style="67" min="3" max="8"/>
  </cols>
  <sheetData>
    <row r="1" ht="17.35" customHeight="1" s="68">
      <c r="A1" s="69" t="inlineStr">
        <is>
          <t>Pacote vs Anuidade — simulador</t>
        </is>
      </c>
    </row>
    <row r="2" ht="15" customHeight="1" s="68">
      <c r="A2" s="70" t="inlineStr">
        <is>
          <t>Simule o efeito de vender pacote plurianual para a base atual e para os novos entrantes, ano a ano, e compare com o cenario em que ninguem fecha pacote. Dados ficticios — edite os campos em azul. Presume pacotes de 3 anos (padrao das Premissas); se mudar o prazo do pacote em Premissas, revise manualmente as formulas de "pontos presos" mais abaixo.</t>
        </is>
      </c>
    </row>
    <row r="4" ht="15" customHeight="1" s="68">
      <c r="A4" s="72" t="inlineStr">
        <is>
          <t>PARAMETROS DO SIMULADOR</t>
        </is>
      </c>
      <c r="B4" s="73" t="n"/>
      <c r="C4" s="73" t="n"/>
      <c r="D4" s="73" t="n"/>
      <c r="E4" s="73" t="n"/>
      <c r="F4" s="73" t="n"/>
      <c r="G4" s="73" t="n"/>
      <c r="H4" s="73" t="n"/>
    </row>
    <row r="5" ht="15" customHeight="1" s="68">
      <c r="A5" s="74" t="inlineStr">
        <is>
          <t>Base atual (pontos faturaveis hoje)</t>
        </is>
      </c>
      <c r="B5" s="77" t="n">
        <v>4775</v>
      </c>
      <c r="C5" s="76" t="inlineStr">
        <is>
          <t>pontos</t>
        </is>
      </c>
      <c r="D5" s="76" t="inlineStr">
        <is>
          <t>Ponto de partida do simulador. Ficticio — edite livremente para testar outros tamanhos de base.</t>
        </is>
      </c>
    </row>
    <row r="6" ht="15" customHeight="1" s="68">
      <c r="A6" s="74" t="inlineStr">
        <is>
          <t>Anuidade cheia do ano 0 (R$/ponto)</t>
        </is>
      </c>
      <c r="B6" s="94">
        <f>Premissas!$B$15/Premissas!$B$14</f>
        <v/>
      </c>
      <c r="C6" s="76" t="inlineStr">
        <is>
          <t>R$/ponto/ano</t>
        </is>
      </c>
      <c r="D6" s="76" t="inlineStr">
        <is>
          <t>Media ponderada dos tres produtos, vinda das Premissas.</t>
        </is>
      </c>
    </row>
    <row r="7" ht="15" customHeight="1" s="68">
      <c r="A7" s="74" t="inlineStr">
        <is>
          <t>Desconto do pacote (% sobre o cheio)</t>
        </is>
      </c>
      <c r="B7" s="102">
        <f>Premissas!$B$41</f>
        <v/>
      </c>
      <c r="D7" s="76" t="inlineStr">
        <is>
          <t>Vem das Premissas — pratica atual do comercial.</t>
        </is>
      </c>
    </row>
    <row r="8" ht="15" customHeight="1" s="68">
      <c r="A8" s="74" t="inlineStr">
        <is>
          <t>Anos cobertos pelo pacote</t>
        </is>
      </c>
      <c r="B8" s="99">
        <f>Premissas!$B$45</f>
        <v/>
      </c>
    </row>
    <row r="9" ht="15" customHeight="1" s="68">
      <c r="A9" s="74" t="inlineStr">
        <is>
          <t>Reajuste anual de preco</t>
        </is>
      </c>
      <c r="B9" s="102">
        <f>Premissas!$B$20</f>
        <v/>
      </c>
    </row>
    <row r="10" ht="15" customHeight="1" s="68">
      <c r="A10" s="74" t="inlineStr">
        <is>
          <t>Churn anual (sobre quem fica em anuidade)</t>
        </is>
      </c>
      <c r="B10" s="102">
        <f>Premissas!$B$19</f>
        <v/>
      </c>
    </row>
    <row r="12" ht="15" customHeight="1" s="68">
      <c r="A12" s="72" t="inlineStr">
        <is>
          <t>SIMULACAO ANO A ANO — DADOS FICTICIOS (edite em azul)</t>
        </is>
      </c>
      <c r="B12" s="73" t="n"/>
      <c r="C12" s="73" t="n"/>
      <c r="D12" s="73" t="n"/>
      <c r="E12" s="73" t="n"/>
      <c r="F12" s="73" t="n"/>
      <c r="G12" s="73" t="n"/>
      <c r="H12" s="73" t="n"/>
    </row>
    <row r="13" ht="15" customHeight="1" s="68">
      <c r="A13" s="71" t="inlineStr">
        <is>
          <t>Indicador</t>
        </is>
      </c>
      <c r="B13" s="71" t="inlineStr">
        <is>
          <t>Ano 0</t>
        </is>
      </c>
      <c r="C13" s="71" t="inlineStr">
        <is>
          <t>Ano 1</t>
        </is>
      </c>
      <c r="D13" s="71" t="inlineStr">
        <is>
          <t>Ano 2</t>
        </is>
      </c>
      <c r="E13" s="71" t="inlineStr">
        <is>
          <t>Ano 3</t>
        </is>
      </c>
      <c r="F13" s="71" t="inlineStr">
        <is>
          <t>Ano 4</t>
        </is>
      </c>
      <c r="G13" s="71" t="inlineStr">
        <is>
          <t>Ano 5</t>
        </is>
      </c>
    </row>
    <row r="14" ht="15" customHeight="1" s="68">
      <c r="A14" s="74" t="inlineStr">
        <is>
          <t>Novos entrantes no ano</t>
        </is>
      </c>
      <c r="B14" s="77" t="n">
        <v>200</v>
      </c>
      <c r="C14" s="77" t="n">
        <v>250</v>
      </c>
      <c r="D14" s="77" t="n">
        <v>250</v>
      </c>
      <c r="E14" s="77" t="n">
        <v>250</v>
      </c>
      <c r="F14" s="77" t="n">
        <v>250</v>
      </c>
      <c r="G14" s="77" t="n">
        <v>250</v>
      </c>
    </row>
    <row r="15" ht="15" customHeight="1" s="68">
      <c r="A15" s="74" t="inlineStr">
        <is>
          <t>% de pacotes fechados no ano (dos elegiveis)</t>
        </is>
      </c>
      <c r="B15" s="82" t="n">
        <v>1</v>
      </c>
      <c r="C15" s="82" t="n">
        <v>0</v>
      </c>
      <c r="D15" s="82" t="n">
        <v>0</v>
      </c>
      <c r="E15" s="82" t="n">
        <v>0</v>
      </c>
      <c r="F15" s="82" t="n">
        <v>0</v>
      </c>
      <c r="G15" s="82" t="n">
        <v>0</v>
      </c>
    </row>
    <row r="17" ht="15" customHeight="1" s="68">
      <c r="A17" s="72" t="inlineStr">
        <is>
          <t>PRECO DO ANO</t>
        </is>
      </c>
      <c r="B17" s="73" t="n"/>
      <c r="C17" s="73" t="n"/>
      <c r="D17" s="73" t="n"/>
      <c r="E17" s="73" t="n"/>
      <c r="F17" s="73" t="n"/>
      <c r="G17" s="73" t="n"/>
      <c r="H17" s="73" t="n"/>
    </row>
    <row r="18" ht="15" customHeight="1" s="68">
      <c r="A18" s="74" t="inlineStr">
        <is>
          <t>Anuidade cheia do ano</t>
        </is>
      </c>
      <c r="B18" s="89">
        <f>B6</f>
        <v/>
      </c>
      <c r="C18" s="89">
        <f>B18*(1+$B$9)</f>
        <v/>
      </c>
      <c r="D18" s="89">
        <f>C18*(1+$B$9)</f>
        <v/>
      </c>
      <c r="E18" s="89">
        <f>D18*(1+$B$9)</f>
        <v/>
      </c>
      <c r="F18" s="89">
        <f>E18*(1+$B$9)</f>
        <v/>
      </c>
      <c r="G18" s="89">
        <f>F18*(1+$B$9)</f>
        <v/>
      </c>
    </row>
    <row r="19" ht="15" customHeight="1" s="68">
      <c r="A19" s="74" t="inlineStr">
        <is>
          <t>Preco do pacote (total, com desconto), por ponto</t>
        </is>
      </c>
      <c r="B19" s="89">
        <f>B18*$B$8*(1-$B$7)</f>
        <v/>
      </c>
      <c r="C19" s="89">
        <f>C18*$B$8*(1-$B$7)</f>
        <v/>
      </c>
      <c r="D19" s="89">
        <f>D18*$B$8*(1-$B$7)</f>
        <v/>
      </c>
      <c r="E19" s="89">
        <f>E18*$B$8*(1-$B$7)</f>
        <v/>
      </c>
      <c r="F19" s="89">
        <f>F18*$B$8*(1-$B$7)</f>
        <v/>
      </c>
      <c r="G19" s="89">
        <f>G18*$B$8*(1-$B$7)</f>
        <v/>
      </c>
    </row>
    <row r="21" ht="15" customHeight="1" s="68">
      <c r="A21" s="72" t="inlineStr">
        <is>
          <t>PONTOS — QUEM DECIDE A CADA ANO</t>
        </is>
      </c>
      <c r="B21" s="73" t="n"/>
      <c r="C21" s="73" t="n"/>
      <c r="D21" s="73" t="n"/>
      <c r="E21" s="73" t="n"/>
      <c r="F21" s="73" t="n"/>
      <c r="G21" s="73" t="n"/>
      <c r="H21" s="73" t="n"/>
    </row>
    <row r="22" ht="15" customHeight="1" s="68">
      <c r="A22" s="74" t="inlineStr">
        <is>
          <t>Total de pontos ativos no ano (cresce igual nos dois cenarios)</t>
        </is>
      </c>
      <c r="B22" s="101">
        <f>$B$5+B14</f>
        <v/>
      </c>
      <c r="C22" s="101">
        <f>B22*(1-$B$10)+C14</f>
        <v/>
      </c>
      <c r="D22" s="101">
        <f>C22*(1-$B$10)+D14</f>
        <v/>
      </c>
      <c r="E22" s="101">
        <f>D22*(1-$B$10)+E14</f>
        <v/>
      </c>
      <c r="F22" s="101">
        <f>E22*(1-$B$10)+F14</f>
        <v/>
      </c>
      <c r="G22" s="101">
        <f>F22*(1-$B$10)+G14</f>
        <v/>
      </c>
    </row>
    <row r="23" ht="15" customHeight="1" s="68">
      <c r="A23" s="74" t="inlineStr">
        <is>
          <t>Pontos ainda presos em pacote vigente (nao decidem este ano)</t>
        </is>
      </c>
      <c r="B23" s="101" t="n">
        <v>0</v>
      </c>
      <c r="C23" s="101">
        <f>B25</f>
        <v/>
      </c>
      <c r="D23" s="101">
        <f>B25+C25</f>
        <v/>
      </c>
      <c r="E23" s="101">
        <f>C25+D25</f>
        <v/>
      </c>
      <c r="F23" s="101">
        <f>D25+E25</f>
        <v/>
      </c>
      <c r="G23" s="101">
        <f>E25+F25</f>
        <v/>
      </c>
    </row>
    <row r="24" ht="15" customHeight="1" s="68">
      <c r="A24" s="74" t="inlineStr">
        <is>
          <t>Pontos livres para decidir este ano</t>
        </is>
      </c>
      <c r="B24" s="101">
        <f>B22-B23</f>
        <v/>
      </c>
      <c r="C24" s="101">
        <f>C22-C23</f>
        <v/>
      </c>
      <c r="D24" s="101">
        <f>D22-D23</f>
        <v/>
      </c>
      <c r="E24" s="101">
        <f>E22-E23</f>
        <v/>
      </c>
      <c r="F24" s="101">
        <f>F22-F23</f>
        <v/>
      </c>
      <c r="G24" s="101">
        <f>G22-G23</f>
        <v/>
      </c>
    </row>
    <row r="25" ht="15" customHeight="1" s="68">
      <c r="A25" s="74" t="inlineStr">
        <is>
          <t>Pontos que fecham pacote novo este ano</t>
        </is>
      </c>
      <c r="B25" s="101">
        <f>B24*B15</f>
        <v/>
      </c>
      <c r="C25" s="101">
        <f>C24*C15</f>
        <v/>
      </c>
      <c r="D25" s="101">
        <f>D24*D15</f>
        <v/>
      </c>
      <c r="E25" s="101">
        <f>E24*E15</f>
        <v/>
      </c>
      <c r="F25" s="101">
        <f>F24*F15</f>
        <v/>
      </c>
      <c r="G25" s="101">
        <f>G24*G15</f>
        <v/>
      </c>
    </row>
    <row r="26" ht="15" customHeight="1" s="68">
      <c r="A26" s="74" t="inlineStr">
        <is>
          <t>Pontos que renovam em anuidade este ano</t>
        </is>
      </c>
      <c r="B26" s="101">
        <f>B24-B25</f>
        <v/>
      </c>
      <c r="C26" s="101">
        <f>C24-C25</f>
        <v/>
      </c>
      <c r="D26" s="101">
        <f>D24-D25</f>
        <v/>
      </c>
      <c r="E26" s="101">
        <f>E24-E25</f>
        <v/>
      </c>
      <c r="F26" s="101">
        <f>F24-F25</f>
        <v/>
      </c>
      <c r="G26" s="101">
        <f>G24-G25</f>
        <v/>
      </c>
    </row>
    <row r="28" ht="15" customHeight="1" s="68">
      <c r="A28" s="72" t="inlineStr">
        <is>
          <t>CAIXA — CENARIO COM PACOTE (pratica mista, conforme % informado)</t>
        </is>
      </c>
      <c r="B28" s="73" t="n"/>
      <c r="C28" s="73" t="n"/>
      <c r="D28" s="73" t="n"/>
      <c r="E28" s="73" t="n"/>
      <c r="F28" s="73" t="n"/>
      <c r="G28" s="73" t="n"/>
      <c r="H28" s="73" t="n"/>
    </row>
    <row r="29" ht="15" customHeight="1" s="68">
      <c r="A29" s="96" t="inlineStr">
        <is>
          <t>Caixa do ano — com pacote</t>
        </is>
      </c>
      <c r="B29" s="80">
        <f>B25*B19+B26*B18</f>
        <v/>
      </c>
      <c r="C29" s="80">
        <f>C25*C19+C26*C18</f>
        <v/>
      </c>
      <c r="D29" s="80">
        <f>D25*D19+D26*D18</f>
        <v/>
      </c>
      <c r="E29" s="80">
        <f>E25*E19+E26*E18</f>
        <v/>
      </c>
      <c r="F29" s="80">
        <f>F25*F19+F26*F18</f>
        <v/>
      </c>
      <c r="G29" s="80">
        <f>G25*G19+G26*G18</f>
        <v/>
      </c>
    </row>
    <row r="31" ht="15" customHeight="1" s="68">
      <c r="A31" s="72" t="inlineStr">
        <is>
          <t>CAIXA — CENARIO SEM PACOTE (contrafactual: ninguem fecha pacote)</t>
        </is>
      </c>
      <c r="B31" s="73" t="n"/>
      <c r="C31" s="73" t="n"/>
      <c r="D31" s="73" t="n"/>
      <c r="E31" s="73" t="n"/>
      <c r="F31" s="73" t="n"/>
      <c r="G31" s="73" t="n"/>
      <c r="H31" s="73" t="n"/>
    </row>
    <row r="32" ht="15" customHeight="1" s="68">
      <c r="A32" s="96" t="inlineStr">
        <is>
          <t>Caixa do ano — sem pacote</t>
        </is>
      </c>
      <c r="B32" s="80">
        <f>B22*B18</f>
        <v/>
      </c>
      <c r="C32" s="80">
        <f>C22*C18</f>
        <v/>
      </c>
      <c r="D32" s="80">
        <f>D22*D18</f>
        <v/>
      </c>
      <c r="E32" s="80">
        <f>E22*E18</f>
        <v/>
      </c>
      <c r="F32" s="80">
        <f>F22*F18</f>
        <v/>
      </c>
      <c r="G32" s="80">
        <f>G22*G18</f>
        <v/>
      </c>
    </row>
    <row r="34" ht="15" customHeight="1" s="68">
      <c r="A34" s="72" t="inlineStr">
        <is>
          <t>COMPARATIVO</t>
        </is>
      </c>
      <c r="B34" s="73" t="n"/>
      <c r="C34" s="73" t="n"/>
      <c r="D34" s="73" t="n"/>
      <c r="E34" s="73" t="n"/>
      <c r="F34" s="73" t="n"/>
      <c r="G34" s="73" t="n"/>
      <c r="H34" s="73" t="n"/>
    </row>
    <row r="35" ht="15" customHeight="1" s="68">
      <c r="A35" s="96" t="inlineStr">
        <is>
          <t>Diferenca do ano (com pacote menos sem pacote)</t>
        </is>
      </c>
      <c r="B35" s="103">
        <f>B29-B32</f>
        <v/>
      </c>
      <c r="C35" s="103">
        <f>C29-C32</f>
        <v/>
      </c>
      <c r="D35" s="103">
        <f>D29-D32</f>
        <v/>
      </c>
      <c r="E35" s="103">
        <f>E29-E32</f>
        <v/>
      </c>
      <c r="F35" s="103">
        <f>F29-F32</f>
        <v/>
      </c>
      <c r="G35" s="103">
        <f>G29-G32</f>
        <v/>
      </c>
    </row>
    <row r="36" ht="15" customHeight="1" s="68">
      <c r="A36" s="96" t="inlineStr">
        <is>
          <t>Diferenca acumulada ate o ano</t>
        </is>
      </c>
      <c r="B36" s="103">
        <f>B35</f>
        <v/>
      </c>
      <c r="C36" s="103">
        <f>B36+C35</f>
        <v/>
      </c>
      <c r="D36" s="103">
        <f>C36+D35</f>
        <v/>
      </c>
      <c r="E36" s="103">
        <f>D36+E35</f>
        <v/>
      </c>
      <c r="F36" s="103">
        <f>E36+F35</f>
        <v/>
      </c>
      <c r="G36" s="103">
        <f>F36+G35</f>
        <v/>
      </c>
    </row>
    <row r="38" ht="15" customHeight="1" s="68">
      <c r="A38" s="86">
        <f>"No ano 0, com "&amp;TEXT(B15,"0%")&amp;" da base e dos novos entrantes fechando pacote, o caixa daquele ano fica "&amp;IF(B35&gt;=0,"R$ "&amp;TEXT(B35,"#,##0")&amp;" ACIMA","R$ "&amp;TEXT(ABS(B35),"#,##0")&amp;" ABAIXO")&amp;" do que seria vender só anuidade cheia para o mesmo grupo. Olhando o acumulado até o Ano 5, a diferença total é "&amp;IF(G36&gt;=0,"um GANHO de R$ ","uma PERDA de R$ ")&amp;TEXT(ABS(G36),"#,##0")&amp;" em relação a nunca vender pacote nenhum."</f>
        <v/>
      </c>
    </row>
    <row r="39" ht="15" customHeight="1" s="68"/>
    <row r="40" ht="15" customHeight="1" s="68"/>
    <row r="41" ht="15" customHeight="1" s="68"/>
  </sheetData>
  <mergeCells count="1">
    <mergeCell ref="A38:H4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12558C"/>
    <outlinePr summaryBelow="1" summaryRight="1"/>
    <pageSetUpPr fitToPage="0"/>
  </sheetPr>
  <dimension ref="A1:H4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67" min="1" max="1"/>
    <col width="15" customWidth="1" style="67" min="2" max="7"/>
    <col width="50" customWidth="1" style="67" min="8" max="8"/>
  </cols>
  <sheetData>
    <row r="1" ht="17.35" customHeight="1" s="68">
      <c r="A1" s="69" t="inlineStr">
        <is>
          <t>Análises</t>
        </is>
      </c>
    </row>
    <row r="2" ht="15" customHeight="1" s="68">
      <c r="A2" s="70" t="inlineStr">
        <is>
          <t>Projecao num unico cenario de anuidade, a partir das Premissas atuais (pacote plurianual fica no simulador "Pacote vs Anuidade"). Combina a base real conhecida com a base ilustrativa do modelo — ajuste as Premissas conforme os dados abertos forem sendo levantados.</t>
        </is>
      </c>
    </row>
    <row r="4" ht="15" customHeight="1" s="68">
      <c r="A4" s="72" t="inlineStr">
        <is>
          <t>1. CAPTURA DE PRECO — ANCORAGEM COM DADOS REAIS (Stripe, 2025)</t>
        </is>
      </c>
      <c r="B4" s="73" t="n"/>
      <c r="C4" s="73" t="n"/>
      <c r="D4" s="73" t="n"/>
      <c r="E4" s="73" t="n"/>
      <c r="F4" s="73" t="n"/>
      <c r="G4" s="73" t="n"/>
      <c r="H4" s="73" t="n"/>
    </row>
    <row r="5" ht="15" customHeight="1" s="68">
      <c r="A5" s="70" t="inlineStr">
        <is>
          <t>Fonte: Notion, BILLING BUSINESS MODEL / Narrativa da Tese, 01/set/2026 — nao editavel, e o registro historico real.</t>
        </is>
      </c>
    </row>
    <row r="6" ht="15" customHeight="1" s="68">
      <c r="A6" s="74" t="inlineStr">
        <is>
          <t>Pivos centrais ativos (ago/2026, banco de dados real)</t>
        </is>
      </c>
      <c r="B6" s="101" t="n">
        <v>3847</v>
      </c>
    </row>
    <row r="7" ht="15" customHeight="1" s="68">
      <c r="A7" s="74" t="inlineStr">
        <is>
          <t>Potencial teorico anual (pivos reais x R$1.200)</t>
        </is>
      </c>
      <c r="B7" s="89">
        <f>B6*1200</f>
        <v/>
      </c>
    </row>
    <row r="8" ht="15" customHeight="1" s="68">
      <c r="A8" s="74" t="inlineStr">
        <is>
          <t>Coletado real — 2025 (Stripe charge, ano completo)</t>
        </is>
      </c>
      <c r="B8" s="89" t="n">
        <v>2010247</v>
      </c>
    </row>
    <row r="9" ht="15" customHeight="1" s="68">
      <c r="A9" s="96" t="inlineStr">
        <is>
          <t>Gap anual (potencial menos coletado)</t>
        </is>
      </c>
      <c r="B9" s="80">
        <f>B7-B8</f>
        <v/>
      </c>
    </row>
    <row r="10" ht="15" customHeight="1" s="68">
      <c r="A10" s="96" t="inlineStr">
        <is>
          <t>Taxa de realizacao</t>
        </is>
      </c>
      <c r="B10" s="104">
        <f>B8/B7</f>
        <v/>
      </c>
    </row>
    <row r="11" ht="15" customHeight="1" s="68">
      <c r="A11" s="105" t="inlineStr">
        <is>
          <t>O gap tem tres causas, nao uma: (1) bonificacao/cortesia intencional, (2) pacotes multi-anuais pre-pagos que aparecem como "gap" mas sao clientes ativos e em dia, e (3) inadimplencia real — o residuo depois de separar as duas primeiras. O split ainda nao foi levantado com o comercial (ver secao 3 desta aba e o roteiro de perguntas).</t>
        </is>
      </c>
    </row>
    <row r="12" ht="15" customHeight="1" s="68"/>
    <row r="13" ht="15" customHeight="1" s="68"/>
    <row r="15" ht="15" customHeight="1" s="68">
      <c r="A15" s="72" t="inlineStr">
        <is>
          <t>2. PROJECAO — CENARIO ANUIDADE (a partir das Premissas)</t>
        </is>
      </c>
      <c r="B15" s="73" t="n"/>
      <c r="C15" s="73" t="n"/>
      <c r="D15" s="73" t="n"/>
      <c r="E15" s="73" t="n"/>
      <c r="F15" s="73" t="n"/>
      <c r="G15" s="73" t="n"/>
      <c r="H15" s="73" t="n"/>
    </row>
    <row r="16" ht="15" customHeight="1" s="68">
      <c r="A16" s="71" t="inlineStr">
        <is>
          <t>Indicador</t>
        </is>
      </c>
      <c r="B16" s="71" t="inlineStr">
        <is>
          <t>Ano 0</t>
        </is>
      </c>
      <c r="C16" s="71" t="inlineStr">
        <is>
          <t>Ano 1</t>
        </is>
      </c>
      <c r="D16" s="71" t="inlineStr">
        <is>
          <t>Ano 2</t>
        </is>
      </c>
      <c r="E16" s="71" t="inlineStr">
        <is>
          <t>Ano 3</t>
        </is>
      </c>
      <c r="F16" s="71" t="inlineStr">
        <is>
          <t>Ano 4</t>
        </is>
      </c>
      <c r="G16" s="71" t="inlineStr">
        <is>
          <t>Ano 5</t>
        </is>
      </c>
    </row>
    <row r="17" ht="15" customHeight="1" s="68">
      <c r="A17" s="74" t="inlineStr">
        <is>
          <t>Pontos ativos no ano (Premissas: base + entrantes - churn)</t>
        </is>
      </c>
      <c r="B17" s="99">
        <f>Premissas!$B$14</f>
        <v/>
      </c>
      <c r="C17" s="101">
        <f>B17*(1-Premissas!$B$19)+Premissas!$B$17*(1+Premissas!$B$18)^1</f>
        <v/>
      </c>
      <c r="D17" s="101">
        <f>C17*(1-Premissas!$B$19)+Premissas!$B$17*(1+Premissas!$B$18)^2</f>
        <v/>
      </c>
      <c r="E17" s="101">
        <f>D17*(1-Premissas!$B$19)+Premissas!$B$17*(1+Premissas!$B$18)^3</f>
        <v/>
      </c>
      <c r="F17" s="101">
        <f>E17*(1-Premissas!$B$19)+Premissas!$B$17*(1+Premissas!$B$18)^4</f>
        <v/>
      </c>
      <c r="G17" s="101">
        <f>F17*(1-Premissas!$B$19)+Premissas!$B$17*(1+Premissas!$B$18)^5</f>
        <v/>
      </c>
    </row>
    <row r="18" ht="15" customHeight="1" s="68">
      <c r="A18" s="74" t="inlineStr">
        <is>
          <t>Anuidade media do ano (blended, com reajuste)</t>
        </is>
      </c>
      <c r="B18" s="94">
        <f>Premissas!$B$15/Premissas!$B$14</f>
        <v/>
      </c>
      <c r="C18" s="89">
        <f>B18*(1+Premissas!$B$20)</f>
        <v/>
      </c>
      <c r="D18" s="89">
        <f>C18*(1+Premissas!$B$20)</f>
        <v/>
      </c>
      <c r="E18" s="89">
        <f>D18*(1+Premissas!$B$20)</f>
        <v/>
      </c>
      <c r="F18" s="89">
        <f>E18*(1+Premissas!$B$20)</f>
        <v/>
      </c>
      <c r="G18" s="89">
        <f>F18*(1+Premissas!$B$20)</f>
        <v/>
      </c>
    </row>
    <row r="19" ht="15" customHeight="1" s="68">
      <c r="A19" s="74" t="inlineStr">
        <is>
          <t>Receita bruta</t>
        </is>
      </c>
      <c r="B19" s="89">
        <f>B17*B18</f>
        <v/>
      </c>
      <c r="C19" s="89">
        <f>C17*C18</f>
        <v/>
      </c>
      <c r="D19" s="89">
        <f>D17*D18</f>
        <v/>
      </c>
      <c r="E19" s="89">
        <f>E17*E18</f>
        <v/>
      </c>
      <c r="F19" s="89">
        <f>F17*F18</f>
        <v/>
      </c>
      <c r="G19" s="89">
        <f>G17*G18</f>
        <v/>
      </c>
    </row>
    <row r="20" ht="15" customHeight="1" s="68">
      <c r="A20" s="74" t="inlineStr">
        <is>
          <t>(-) Desconto comercial (anuidade avulsa)</t>
        </is>
      </c>
      <c r="B20" s="89">
        <f>-B19*Premissas!$B$42</f>
        <v/>
      </c>
      <c r="C20" s="89">
        <f>-C19*Premissas!$B$42</f>
        <v/>
      </c>
      <c r="D20" s="89">
        <f>-D19*Premissas!$B$42</f>
        <v/>
      </c>
      <c r="E20" s="89">
        <f>-E19*Premissas!$B$42</f>
        <v/>
      </c>
      <c r="F20" s="89">
        <f>-F19*Premissas!$B$42</f>
        <v/>
      </c>
      <c r="G20" s="89">
        <f>-G19*Premissas!$B$42</f>
        <v/>
      </c>
    </row>
    <row r="21" ht="15" customHeight="1" s="68">
      <c r="A21" s="74" t="inlineStr">
        <is>
          <t>(-) Inadimplencia</t>
        </is>
      </c>
      <c r="B21" s="89">
        <f>-(B19+B20)*Premissas!$B$43</f>
        <v/>
      </c>
      <c r="C21" s="89">
        <f>-(C19+C20)*Premissas!$B$43</f>
        <v/>
      </c>
      <c r="D21" s="89">
        <f>-(D19+D20)*Premissas!$B$43</f>
        <v/>
      </c>
      <c r="E21" s="89">
        <f>-(E19+E20)*Premissas!$B$43</f>
        <v/>
      </c>
      <c r="F21" s="89">
        <f>-(F19+F20)*Premissas!$B$43</f>
        <v/>
      </c>
      <c r="G21" s="89">
        <f>-(G19+G20)*Premissas!$B$43</f>
        <v/>
      </c>
    </row>
    <row r="22" ht="15" customHeight="1" s="68">
      <c r="A22" s="74" t="inlineStr">
        <is>
          <t>(-) Cortesia vigente (aproximacao, mantida constante)</t>
        </is>
      </c>
      <c r="B22" s="94">
        <f>-Premissas!$B$81</f>
        <v/>
      </c>
      <c r="C22" s="89">
        <f>$B$22</f>
        <v/>
      </c>
      <c r="D22" s="89">
        <f>$B$22</f>
        <v/>
      </c>
      <c r="E22" s="89">
        <f>$B$22</f>
        <v/>
      </c>
      <c r="F22" s="89">
        <f>$B$22</f>
        <v/>
      </c>
      <c r="G22" s="89">
        <f>$B$22</f>
        <v/>
      </c>
    </row>
    <row r="23" ht="15" customHeight="1" s="68">
      <c r="A23" s="96" t="inlineStr">
        <is>
          <t>(=) Receita liquida</t>
        </is>
      </c>
      <c r="B23" s="80">
        <f>SUM(B19:B22)</f>
        <v/>
      </c>
      <c r="C23" s="80">
        <f>SUM(C19:C22)</f>
        <v/>
      </c>
      <c r="D23" s="80">
        <f>SUM(D19:D22)</f>
        <v/>
      </c>
      <c r="E23" s="80">
        <f>SUM(E19:E22)</f>
        <v/>
      </c>
      <c r="F23" s="80">
        <f>SUM(F19:F22)</f>
        <v/>
      </c>
      <c r="G23" s="80">
        <f>SUM(G19:G22)</f>
        <v/>
      </c>
    </row>
    <row r="25" ht="15" customHeight="1" s="68">
      <c r="A25" s="74" t="inlineStr">
        <is>
          <t>(-) Custo variavel (cloud, conectividade, suporte)</t>
        </is>
      </c>
      <c r="B25" s="89">
        <f>-B17*(Premissas!$B$54+Premissas!$B$55)*(1+Premissas!$B$57)^0</f>
        <v/>
      </c>
      <c r="C25" s="89">
        <f>-C17*(Premissas!$B$54+Premissas!$B$55)*(1+Premissas!$B$57)^1</f>
        <v/>
      </c>
      <c r="D25" s="89">
        <f>-D17*(Premissas!$B$54+Premissas!$B$55)*(1+Premissas!$B$57)^2</f>
        <v/>
      </c>
      <c r="E25" s="89">
        <f>-E17*(Premissas!$B$54+Premissas!$B$55)*(1+Premissas!$B$57)^3</f>
        <v/>
      </c>
      <c r="F25" s="89">
        <f>-F17*(Premissas!$B$54+Premissas!$B$55)*(1+Premissas!$B$57)^4</f>
        <v/>
      </c>
      <c r="G25" s="89">
        <f>-G17*(Premissas!$B$54+Premissas!$B$55)*(1+Premissas!$B$57)^5</f>
        <v/>
      </c>
    </row>
    <row r="26" ht="15" customHeight="1" s="68">
      <c r="A26" s="74" t="inlineStr">
        <is>
          <t>(-) Custo fixo da plataforma</t>
        </is>
      </c>
      <c r="B26" s="89">
        <f>-Premissas!$B$56*(1+Premissas!$B$57)^0</f>
        <v/>
      </c>
      <c r="C26" s="89">
        <f>-Premissas!$B$56*(1+Premissas!$B$57)^1</f>
        <v/>
      </c>
      <c r="D26" s="89">
        <f>-Premissas!$B$56*(1+Premissas!$B$57)^2</f>
        <v/>
      </c>
      <c r="E26" s="89">
        <f>-Premissas!$B$56*(1+Premissas!$B$57)^3</f>
        <v/>
      </c>
      <c r="F26" s="89">
        <f>-Premissas!$B$56*(1+Premissas!$B$57)^4</f>
        <v/>
      </c>
      <c r="G26" s="89">
        <f>-Premissas!$B$56*(1+Premissas!$B$57)^5</f>
        <v/>
      </c>
    </row>
    <row r="27" ht="15" customHeight="1" s="68">
      <c r="A27" s="74" t="inlineStr">
        <is>
          <t>(-) Custo da operacao de billing</t>
        </is>
      </c>
      <c r="B27" s="89">
        <f>-Premissas!$B$66*(1+Premissas!$B$57)^0</f>
        <v/>
      </c>
      <c r="C27" s="89">
        <f>-Premissas!$B$66*(1+Premissas!$B$57)^1</f>
        <v/>
      </c>
      <c r="D27" s="89">
        <f>-Premissas!$B$66*(1+Premissas!$B$57)^2</f>
        <v/>
      </c>
      <c r="E27" s="89">
        <f>-Premissas!$B$66*(1+Premissas!$B$57)^3</f>
        <v/>
      </c>
      <c r="F27" s="89">
        <f>-Premissas!$B$66*(1+Premissas!$B$57)^4</f>
        <v/>
      </c>
      <c r="G27" s="89">
        <f>-Premissas!$B$66*(1+Premissas!$B$57)^5</f>
        <v/>
      </c>
    </row>
    <row r="28" ht="15" customHeight="1" s="68">
      <c r="A28" s="96" t="inlineStr">
        <is>
          <t>(=) Custo total</t>
        </is>
      </c>
      <c r="B28" s="80">
        <f>SUM(B25:B27)</f>
        <v/>
      </c>
      <c r="C28" s="80">
        <f>SUM(C25:C27)</f>
        <v/>
      </c>
      <c r="D28" s="80">
        <f>SUM(D25:D27)</f>
        <v/>
      </c>
      <c r="E28" s="80">
        <f>SUM(E25:E27)</f>
        <v/>
      </c>
      <c r="F28" s="80">
        <f>SUM(F25:F27)</f>
        <v/>
      </c>
      <c r="G28" s="80">
        <f>SUM(G25:G27)</f>
        <v/>
      </c>
    </row>
    <row r="30" ht="15" customHeight="1" s="68">
      <c r="A30" s="96" t="inlineStr">
        <is>
          <t>EBITDA</t>
        </is>
      </c>
      <c r="B30" s="103">
        <f>B23+B28</f>
        <v/>
      </c>
      <c r="C30" s="103">
        <f>C23+C28</f>
        <v/>
      </c>
      <c r="D30" s="103">
        <f>D23+D28</f>
        <v/>
      </c>
      <c r="E30" s="103">
        <f>E23+E28</f>
        <v/>
      </c>
      <c r="F30" s="103">
        <f>F23+F28</f>
        <v/>
      </c>
      <c r="G30" s="103">
        <f>G23+G28</f>
        <v/>
      </c>
    </row>
    <row r="31" ht="15" customHeight="1" s="68">
      <c r="A31" s="74" t="inlineStr">
        <is>
          <t>Margem EBITDA</t>
        </is>
      </c>
      <c r="B31" s="97">
        <f>B30/B23</f>
        <v/>
      </c>
      <c r="C31" s="97">
        <f>C30/C23</f>
        <v/>
      </c>
      <c r="D31" s="97">
        <f>D30/D23</f>
        <v/>
      </c>
      <c r="E31" s="97">
        <f>E30/E23</f>
        <v/>
      </c>
      <c r="F31" s="97">
        <f>F30/F23</f>
        <v/>
      </c>
      <c r="G31" s="97">
        <f>G30/G23</f>
        <v/>
      </c>
    </row>
    <row r="32" ht="15" customHeight="1" s="68">
      <c r="A32" s="96" t="inlineStr">
        <is>
          <t>Caixa acumulado (nominal)</t>
        </is>
      </c>
      <c r="B32" s="103">
        <f>B30</f>
        <v/>
      </c>
      <c r="C32" s="103">
        <f>B32+C30</f>
        <v/>
      </c>
      <c r="D32" s="103">
        <f>C32+D30</f>
        <v/>
      </c>
      <c r="E32" s="103">
        <f>D32+E30</f>
        <v/>
      </c>
      <c r="F32" s="103">
        <f>E32+F30</f>
        <v/>
      </c>
      <c r="G32" s="103">
        <f>F32+G30</f>
        <v/>
      </c>
    </row>
    <row r="35" ht="15" customHeight="1" s="68">
      <c r="A35" s="72" t="inlineStr">
        <is>
          <t>3. DADOS PENDENTES PARA REFINAR ESTA ANALISE</t>
        </is>
      </c>
      <c r="B35" s="73" t="n"/>
      <c r="C35" s="73" t="n"/>
      <c r="D35" s="73" t="n"/>
      <c r="E35" s="73" t="n"/>
      <c r="F35" s="73" t="n"/>
      <c r="G35" s="73" t="n"/>
      <c r="H35" s="73" t="n"/>
    </row>
    <row r="36" ht="15" customHeight="1" s="68">
      <c r="A36" s="70" t="inlineStr">
        <is>
          <t>Lista viva — preencha conforme o levantamento com o comercial avancar (ver roteiro de perguntas).</t>
        </is>
      </c>
    </row>
    <row r="37" ht="15" customHeight="1" s="68">
      <c r="A37" s="76" t="inlineStr">
        <is>
          <t>☐ Split cortesia vs pagando — de que fatia da base realmente nao gera charge</t>
        </is>
      </c>
      <c r="B37" s="92" t="inlineStr">
        <is>
          <t>aguardando</t>
        </is>
      </c>
    </row>
    <row r="38" ht="15" customHeight="1" s="68">
      <c r="A38" s="76" t="inlineStr">
        <is>
          <t>☐ Breakdown do gap R$2,61M/ano — parcelas futuras de pacote / cortesia / inadimplencia real</t>
        </is>
      </c>
      <c r="B38" s="92" t="inlineStr">
        <is>
          <t>aguardando</t>
        </is>
      </c>
    </row>
    <row r="39" ht="15" customHeight="1" s="68">
      <c r="A39" s="76" t="inlineStr">
        <is>
          <t>☐ Custo operacional real do comercial (headcount, infra, CAC)</t>
        </is>
      </c>
      <c r="B39" s="92" t="inlineStr">
        <is>
          <t>aguardando</t>
        </is>
      </c>
    </row>
    <row r="40" ht="15" customHeight="1" s="68">
      <c r="A40" s="76" t="inlineStr">
        <is>
          <t>☐ Volume de receita pass-through (SAF e parceiros) dentro do charge_volume do Stripe</t>
        </is>
      </c>
      <c r="B40" s="92" t="inlineStr">
        <is>
          <t>aguardando</t>
        </is>
      </c>
    </row>
    <row r="41" ht="15" customHeight="1" s="68">
      <c r="A41" s="76" t="inlineStr">
        <is>
          <t>☐ Clientes internacionais ativos hoje — volume e receita, canal direto vs dealer</t>
        </is>
      </c>
      <c r="B41" s="92" t="inlineStr">
        <is>
          <t>aguardando</t>
        </is>
      </c>
    </row>
    <row r="42" ht="15" customHeight="1" s="68">
      <c r="A42" s="76" t="inlineStr">
        <is>
          <t>☐ ARPU por fazenda (nao por ponto/device)</t>
        </is>
      </c>
      <c r="B42" s="92" t="inlineStr">
        <is>
          <t>aguardando</t>
        </is>
      </c>
    </row>
    <row r="43" ht="15" customHeight="1" s="68">
      <c r="A43" s="76" t="inlineStr">
        <is>
          <t>☐ Distribuicao de tamanho — fazendas com 1 pivo vs 5+ vs 10+</t>
        </is>
      </c>
      <c r="B43" s="92" t="inlineStr">
        <is>
          <t>aguardando</t>
        </is>
      </c>
    </row>
    <row r="44" ht="15" customHeight="1" s="68">
      <c r="A44" s="76" t="inlineStr">
        <is>
          <t>☐ Taxa de churn real por cohort de renovacao (nao estimada)</t>
        </is>
      </c>
      <c r="B44" s="92" t="inlineStr">
        <is>
          <t>aguardando</t>
        </is>
      </c>
    </row>
  </sheetData>
  <mergeCells count="1">
    <mergeCell ref="A11:H1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A6A6A6"/>
    <outlinePr summaryBelow="1" summaryRight="1"/>
    <pageSetUpPr fitToPage="0"/>
  </sheetPr>
  <dimension ref="A1:D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0" customWidth="1" style="67" min="1" max="1"/>
    <col width="16" customWidth="1" style="67" min="2" max="2"/>
    <col width="18" customWidth="1" style="67" min="3" max="3"/>
    <col width="62" customWidth="1" style="67" min="4" max="4"/>
  </cols>
  <sheetData>
    <row r="1" ht="17.35" customHeight="1" s="68">
      <c r="A1" s="69" t="inlineStr">
        <is>
          <t>Migração de plataformas (futuro)</t>
        </is>
      </c>
    </row>
    <row r="2" ht="15" customHeight="1" s="68">
      <c r="A2" s="70" t="inlineStr">
        <is>
          <t>Aba estacionada — nao alimenta nenhuma outra aba do modelo. Preencha quando o projeto de migracao de plataforma tiver escopo definido com a Engenharia.</t>
        </is>
      </c>
    </row>
    <row r="4" ht="15" customHeight="1" s="68">
      <c r="A4" s="71" t="inlineStr">
        <is>
          <t>Parametro</t>
        </is>
      </c>
      <c r="B4" s="71" t="inlineStr">
        <is>
          <t>Valor</t>
        </is>
      </c>
      <c r="C4" s="71" t="inlineStr">
        <is>
          <t>Unidade</t>
        </is>
      </c>
      <c r="D4" s="71" t="inlineStr">
        <is>
          <t>Nota</t>
        </is>
      </c>
    </row>
    <row r="6" ht="15" customHeight="1" s="68">
      <c r="A6" s="72" t="inlineStr">
        <is>
          <t>PREMISSAS DE MIGRACAO — PREENCHER QUANDO O PROJETO TIVER ESCOPO</t>
        </is>
      </c>
      <c r="B6" s="73" t="n"/>
      <c r="C6" s="73" t="n"/>
      <c r="D6" s="73" t="n"/>
    </row>
    <row r="7" ht="15" customHeight="1" s="68">
      <c r="A7" s="74" t="inlineStr">
        <is>
          <t>Pontos hoje na plataforma de origem</t>
        </is>
      </c>
      <c r="B7" s="77" t="n"/>
      <c r="C7" s="76" t="inlineStr">
        <is>
          <t>pontos</t>
        </is>
      </c>
      <c r="D7" s="76" t="inlineStr">
        <is>
          <t>Quantos pontos existem na base a ser migrada</t>
        </is>
      </c>
    </row>
    <row r="8" ht="15" customHeight="1" s="68">
      <c r="A8" s="74" t="inlineStr">
        <is>
          <t>Pontos tecnicamente migraveis</t>
        </is>
      </c>
      <c r="B8" s="77" t="n"/>
      <c r="C8" s="76" t="inlineStr">
        <is>
          <t>pontos</t>
        </is>
      </c>
      <c r="D8" s="76" t="inlineStr">
        <is>
          <t>Subconjunto do total acima que o projeto consegue alcancar</t>
        </is>
      </c>
    </row>
    <row r="9" ht="15" customHeight="1" s="68">
      <c r="A9" s="74" t="inlineStr">
        <is>
          <t>Ano de inicio da migracao</t>
        </is>
      </c>
      <c r="B9" s="77" t="n"/>
      <c r="C9" s="76" t="inlineStr">
        <is>
          <t>ano</t>
        </is>
      </c>
      <c r="D9" s="76" t="inlineStr">
        <is>
          <t>Primeiro ano em que pontos migrados comecam a faturar</t>
        </is>
      </c>
    </row>
    <row r="10" ht="15" customHeight="1" s="68">
      <c r="A10" s="74" t="inlineStr">
        <is>
          <t>Migrado no 1o ano do projeto</t>
        </is>
      </c>
      <c r="B10" s="77" t="n"/>
      <c r="C10" s="76" t="inlineStr">
        <is>
          <t>% dos migraveis</t>
        </is>
      </c>
      <c r="D10" s="76" t="n"/>
    </row>
    <row r="11" ht="15" customHeight="1" s="68">
      <c r="A11" s="74" t="inlineStr">
        <is>
          <t>Migrado no 2o ano do projeto</t>
        </is>
      </c>
      <c r="B11" s="77" t="n"/>
      <c r="C11" s="76" t="inlineStr">
        <is>
          <t>% dos migraveis</t>
        </is>
      </c>
      <c r="D11" s="76" t="n"/>
    </row>
    <row r="12" ht="15" customHeight="1" s="68">
      <c r="A12" s="74" t="inlineStr">
        <is>
          <t>Migrado no 3o ano do projeto</t>
        </is>
      </c>
      <c r="B12" s="77" t="n"/>
      <c r="C12" s="76" t="inlineStr">
        <is>
          <t>% dos migraveis</t>
        </is>
      </c>
      <c r="D12" s="76" t="n"/>
    </row>
    <row r="13" ht="15" customHeight="1" s="68">
      <c r="A13" s="74" t="inlineStr">
        <is>
          <t>Anuidade do ponto migrado</t>
        </is>
      </c>
      <c r="B13" s="77" t="n"/>
      <c r="C13" s="76" t="inlineStr">
        <is>
          <t>R$/ponto/ano</t>
        </is>
      </c>
      <c r="D13" s="76" t="inlineStr">
        <is>
          <t>Deixe vazio para usar a mesma anuidade da base</t>
        </is>
      </c>
    </row>
    <row r="14" ht="15" customHeight="1" s="68">
      <c r="A14" s="74" t="inlineStr">
        <is>
          <t>Desconto de entrada no 1o ano</t>
        </is>
      </c>
      <c r="B14" s="77" t="n"/>
      <c r="C14" s="76" t="inlineStr">
        <is>
          <t>% sobre o cheio</t>
        </is>
      </c>
      <c r="D14" s="76" t="n"/>
    </row>
    <row r="15" ht="15" customHeight="1" s="68">
      <c r="A15" s="74" t="inlineStr">
        <is>
          <t>Investimento de migracao por ponto</t>
        </is>
      </c>
      <c r="B15" s="77" t="n"/>
      <c r="C15" s="76" t="inlineStr">
        <is>
          <t>R$/ponto</t>
        </is>
      </c>
      <c r="D15" s="76" t="inlineStr">
        <is>
          <t>Hardware, gateway e visita de campo</t>
        </is>
      </c>
    </row>
    <row r="16" ht="15" customHeight="1" s="68">
      <c r="A16" s="74" t="inlineStr">
        <is>
          <t>Perda no processo de migracao</t>
        </is>
      </c>
      <c r="B16" s="77" t="n"/>
      <c r="C16" s="76" t="inlineStr">
        <is>
          <t>% dos migrados</t>
        </is>
      </c>
      <c r="D16" s="7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12558C"/>
    <outlinePr summaryBelow="1" summaryRight="1"/>
    <pageSetUpPr fitToPage="0"/>
  </sheetPr>
  <dimension ref="A1:H9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E79" activeCellId="0" sqref="E79"/>
    </sheetView>
  </sheetViews>
  <sheetFormatPr baseColWidth="8" defaultColWidth="8.66796875" defaultRowHeight="14.25" zeroHeight="0" outlineLevelRow="0"/>
  <cols>
    <col width="44" customWidth="1" style="67" min="1" max="1"/>
    <col width="20" customWidth="1" style="67" min="2" max="2"/>
    <col width="18" customWidth="1" style="67" min="3" max="3"/>
    <col width="16" customWidth="1" style="67" min="4" max="7"/>
    <col width="60" customWidth="1" style="67" min="8" max="8"/>
  </cols>
  <sheetData>
    <row r="1" ht="17.25" customHeight="1" s="68">
      <c r="A1" s="69" t="inlineStr">
        <is>
          <t>Monitoramento de umidade — por ponto ou por hectare</t>
        </is>
      </c>
    </row>
    <row r="2" ht="14.25" customHeight="1" s="68">
      <c r="A2" s="70" t="inlineStr">
        <is>
          <t>Analise separada da anuidade de plataforma. Decide o modelo de cobranca a partir do que a tecnologia custou, do que custa manter, e de quando o investimento se paga. Aba isolada, pronta para colar na planilha matriz — nao depende de outras abas.</t>
        </is>
      </c>
    </row>
    <row r="4" ht="14.25" customHeight="1" s="68">
      <c r="A4" s="72" t="inlineStr">
        <is>
          <t>0. PARAMETROS REPLICADOS DO MODELO PRINCIPAL</t>
        </is>
      </c>
      <c r="B4" s="73" t="n"/>
      <c r="C4" s="73" t="n"/>
      <c r="D4" s="73" t="n"/>
      <c r="E4" s="73" t="n"/>
      <c r="F4" s="73" t="n"/>
      <c r="G4" s="73" t="n"/>
      <c r="H4" s="73" t="n"/>
    </row>
    <row r="5" ht="14.25" customHeight="1" s="68">
      <c r="A5" s="70" t="inlineStr">
        <is>
          <t>Usados apenas nas formulas desta aba (ano-calendario e reajuste contratual). Se colar isto ao lado da aba Premissas do modelo principal, pode trocar por referencia cruzada.</t>
        </is>
      </c>
    </row>
    <row r="6" ht="14.25" customHeight="1" s="68">
      <c r="A6" s="106" t="inlineStr">
        <is>
          <t>Parametro</t>
        </is>
      </c>
      <c r="B6" s="107" t="inlineStr">
        <is>
          <t>Valor</t>
        </is>
      </c>
      <c r="C6" s="107" t="inlineStr">
        <is>
          <t>Unidade</t>
        </is>
      </c>
      <c r="D6" s="107" t="n"/>
      <c r="E6" s="107" t="n"/>
      <c r="F6" s="107" t="n"/>
      <c r="G6" s="107" t="n"/>
      <c r="H6" s="107" t="inlineStr">
        <is>
          <t>Nota</t>
        </is>
      </c>
    </row>
    <row r="7" ht="14.25" customHeight="1" s="68">
      <c r="A7" s="74" t="inlineStr">
        <is>
          <t>Ano-base (ano corrente)</t>
        </is>
      </c>
      <c r="B7" s="91" t="n">
        <v>2026</v>
      </c>
      <c r="C7" s="108" t="inlineStr">
        <is>
          <t>ano</t>
        </is>
      </c>
      <c r="H7" s="70" t="inlineStr">
        <is>
          <t>Replicado do Premissas do modelo principal</t>
        </is>
      </c>
    </row>
    <row r="8" ht="14.25" customHeight="1" s="68">
      <c r="A8" s="74" t="inlineStr">
        <is>
          <t>Reajuste contratual anual</t>
        </is>
      </c>
      <c r="B8" s="82" t="n">
        <v>0.05</v>
      </c>
      <c r="C8" s="108" t="inlineStr">
        <is>
          <t>% a.a.</t>
        </is>
      </c>
      <c r="H8" s="70" t="inlineStr">
        <is>
          <t>Replicado do Premissas do modelo principal — mesmo indice usado na anuidade</t>
        </is>
      </c>
    </row>
    <row r="10" ht="14.25" customHeight="1" s="68">
      <c r="A10" s="72" t="inlineStr">
        <is>
          <t>1. INVESTIMENTO E CUSTO DA TECNOLOGIA</t>
        </is>
      </c>
      <c r="B10" s="73" t="n"/>
      <c r="C10" s="73" t="n"/>
      <c r="D10" s="73" t="n"/>
      <c r="E10" s="73" t="n"/>
      <c r="F10" s="73" t="n"/>
      <c r="G10" s="73" t="n"/>
      <c r="H10" s="73" t="n"/>
    </row>
    <row r="11" ht="14.25" customHeight="1" s="68">
      <c r="A11" s="70" t="inlineStr">
        <is>
          <t>Custos vindos de Project Cost and Revenue Estimation.xlsx (arquivo enviado por William). O que a fonte nao cobre fica em branco — o modelo trata como zero e o indicador correspondente pede o dado.</t>
        </is>
      </c>
    </row>
    <row r="12" ht="14.25" customHeight="1" s="68">
      <c r="A12" s="106" t="inlineStr">
        <is>
          <t>Parametro</t>
        </is>
      </c>
      <c r="B12" s="107" t="inlineStr">
        <is>
          <t>Valor</t>
        </is>
      </c>
      <c r="C12" s="107" t="inlineStr">
        <is>
          <t>Unidade</t>
        </is>
      </c>
      <c r="D12" s="107" t="n"/>
      <c r="E12" s="107" t="n"/>
      <c r="F12" s="107" t="n"/>
      <c r="G12" s="107" t="n"/>
      <c r="H12" s="107" t="inlineStr">
        <is>
          <t>Nota</t>
        </is>
      </c>
    </row>
    <row r="13" ht="14.25" customHeight="1" s="68">
      <c r="A13" s="74" t="inlineStr">
        <is>
          <t>Valor pago pela tecnologia</t>
        </is>
      </c>
      <c r="B13" s="78" t="n">
        <v>355000</v>
      </c>
      <c r="C13" s="108" t="inlineStr">
        <is>
          <t>R$</t>
        </is>
      </c>
      <c r="H13" s="70" t="inlineStr">
        <is>
          <t>Aquisicao, licenca de uso ou direito de distribuicao. E o que o payback precisa devolver</t>
        </is>
      </c>
    </row>
    <row r="14" ht="14.25" customHeight="1" s="68">
      <c r="A14" s="74" t="inlineStr">
        <is>
          <t>Ano da aquisicao</t>
        </is>
      </c>
      <c r="B14" s="91" t="n">
        <v>2027</v>
      </c>
      <c r="C14" s="108" t="inlineStr">
        <is>
          <t>ano</t>
        </is>
      </c>
      <c r="H14" s="70" t="inlineStr">
        <is>
          <t>Ano em que o desembolso ocorreu</t>
        </is>
      </c>
    </row>
    <row r="15" ht="14.25" customHeight="1" s="68">
      <c r="A15" s="74" t="inlineStr">
        <is>
          <t>Prazo de amortizacao contabil</t>
        </is>
      </c>
      <c r="B15" s="77" t="n">
        <v>3</v>
      </c>
      <c r="C15" s="108" t="inlineStr">
        <is>
          <t>anos</t>
        </is>
      </c>
      <c r="H15" s="70" t="inlineStr">
        <is>
          <t>Usado apenas na visao contabil</t>
        </is>
      </c>
    </row>
    <row r="16" ht="14.25" customHeight="1" s="68">
      <c r="A16" s="109" t="inlineStr">
        <is>
          <t>Amortizacao anual</t>
        </is>
      </c>
      <c r="B16" s="103">
        <f>IF(OR($B$13="",$B$15="",$B$15=0),0,$B$13/$B$15)</f>
        <v/>
      </c>
      <c r="C16" s="108" t="inlineStr">
        <is>
          <t>R$/ano</t>
        </is>
      </c>
      <c r="H16" s="70" t="inlineStr">
        <is>
          <t>Nao entra no calculo de payback, que trabalha com caixa</t>
        </is>
      </c>
    </row>
    <row r="17" ht="14.25" customHeight="1" s="68">
      <c r="A17" s="74" t="inlineStr">
        <is>
          <t>Custo anual de infraestrutura e licenca</t>
        </is>
      </c>
      <c r="B17" s="78" t="n">
        <v>147552</v>
      </c>
      <c r="C17" s="108" t="inlineStr">
        <is>
          <t>R$/ano</t>
        </is>
      </c>
      <c r="H17" s="70" t="inlineStr">
        <is>
          <t>Nuvem, processamento do dado, licenca recorrente ao fornecedor</t>
        </is>
      </c>
    </row>
    <row r="18" ht="14.25" customHeight="1" s="68">
      <c r="A18" s="74" t="inlineStr">
        <is>
          <t>Custo anual de time dedicado</t>
        </is>
      </c>
      <c r="B18" s="78" t="n"/>
      <c r="C18" s="108" t="inlineStr">
        <is>
          <t>R$/ano</t>
        </is>
      </c>
      <c r="H18" s="70" t="inlineStr">
        <is>
          <t>Agronomia, suporte tecnico e engenharia alocados ao produto</t>
        </is>
      </c>
    </row>
    <row r="19" ht="14.25" customHeight="1" s="68">
      <c r="A19" s="109" t="inlineStr">
        <is>
          <t>Custo fixo anual total</t>
        </is>
      </c>
      <c r="B19" s="80">
        <f>N($B$17)+N($B$18)</f>
        <v/>
      </c>
      <c r="C19" s="108" t="inlineStr">
        <is>
          <t>R$/ano</t>
        </is>
      </c>
      <c r="H19" s="70" t="inlineStr">
        <is>
          <t>O que a receita precisa cobrir antes de gerar margem</t>
        </is>
      </c>
    </row>
    <row r="20" ht="14.25" customHeight="1" s="68">
      <c r="A20" s="74" t="inlineStr">
        <is>
          <t>Custo variavel por ponto monitorado</t>
        </is>
      </c>
      <c r="B20" s="78" t="n">
        <v>9.94285714285714</v>
      </c>
      <c r="C20" s="108" t="inlineStr">
        <is>
          <t>R$/ponto/ano</t>
        </is>
      </c>
      <c r="H20" s="70" t="inlineStr">
        <is>
          <t>Conectividade, calibracao e manutencao por equipamento</t>
        </is>
      </c>
    </row>
    <row r="21" ht="14.25" customHeight="1" s="68">
      <c r="A21" s="74" t="inlineStr">
        <is>
          <t>Custo variavel por hectare monitorado</t>
        </is>
      </c>
      <c r="B21" s="110" t="n">
        <v>0.142040816326531</v>
      </c>
      <c r="C21" s="108" t="inlineStr">
        <is>
          <t>R$/ha/ano</t>
        </is>
      </c>
      <c r="H21" s="70" t="inlineStr">
        <is>
          <t>Se o custo escala com area em vez de equipamento</t>
        </is>
      </c>
    </row>
    <row r="22" ht="14.25" customHeight="1" s="68">
      <c r="A22" s="74" t="inlineStr">
        <is>
          <t>Hectares por pivo (media)</t>
        </is>
      </c>
      <c r="B22" s="111" t="n">
        <v>70</v>
      </c>
      <c r="C22" s="108" t="inlineStr">
        <is>
          <t>ha/pivo</t>
        </is>
      </c>
      <c r="H22" s="70" t="inlineStr">
        <is>
          <t>Converte um modelo de cobranca no outro</t>
        </is>
      </c>
    </row>
    <row r="23" ht="14.25" customHeight="1" s="68">
      <c r="A23" s="74" t="inlineStr">
        <is>
          <t>Inflacao de custos</t>
        </is>
      </c>
      <c r="B23" s="81" t="n">
        <v>0.05</v>
      </c>
      <c r="C23" s="108" t="inlineStr">
        <is>
          <t>% a.a.</t>
        </is>
      </c>
      <c r="H23" s="70" t="inlineStr">
        <is>
          <t>Reajuste anual do custo fixo e variavel</t>
        </is>
      </c>
    </row>
    <row r="25" ht="14.25" customHeight="1" s="68">
      <c r="A25" s="72" t="inlineStr">
        <is>
          <t>2. MODELO A — COBRANCA POR PONTO (PIVO)</t>
        </is>
      </c>
      <c r="B25" s="73" t="n"/>
      <c r="C25" s="73" t="n"/>
      <c r="D25" s="73" t="n"/>
      <c r="E25" s="73" t="n"/>
      <c r="F25" s="73" t="n"/>
      <c r="G25" s="73" t="n"/>
      <c r="H25" s="73" t="n"/>
    </row>
    <row r="26" ht="14.25" customHeight="1" s="68">
      <c r="A26" s="70" t="inlineStr">
        <is>
          <t>Um preco por pivo monitorado, independente da area. Simples de vender e de faturar junto com a anuidade.</t>
        </is>
      </c>
    </row>
    <row r="27" ht="14.25" customHeight="1" s="68">
      <c r="A27" s="71" t="inlineStr">
        <is>
          <t>Indicador</t>
        </is>
      </c>
      <c r="B27" s="71" t="inlineStr">
        <is>
          <t>Unidade</t>
        </is>
      </c>
      <c r="C27" s="112">
        <f>$B$7+0</f>
        <v/>
      </c>
      <c r="D27" s="112">
        <f>$B$7+1</f>
        <v/>
      </c>
      <c r="E27" s="112">
        <f>$B$7+2</f>
        <v/>
      </c>
      <c r="F27" s="112">
        <f>$B$7+3</f>
        <v/>
      </c>
      <c r="G27" s="112">
        <f>$B$7+4</f>
        <v/>
      </c>
    </row>
    <row r="28" ht="14.25" customHeight="1" s="68">
      <c r="A28" s="109" t="inlineStr">
        <is>
          <t>Ano relativo</t>
        </is>
      </c>
      <c r="B28" s="113" t="inlineStr">
        <is>
          <t>n</t>
        </is>
      </c>
      <c r="C28" s="93" t="n">
        <v>0</v>
      </c>
      <c r="D28" s="93" t="n">
        <v>1</v>
      </c>
      <c r="E28" s="93" t="n">
        <v>2</v>
      </c>
      <c r="F28" s="93" t="n">
        <v>3</v>
      </c>
      <c r="G28" s="93" t="n">
        <v>4</v>
      </c>
    </row>
    <row r="29" ht="14.25" customHeight="1" s="68">
      <c r="A29" s="74" t="inlineStr">
        <is>
          <t>Preco por ponto no ano-base</t>
        </is>
      </c>
      <c r="B29" s="114" t="inlineStr">
        <is>
          <t>R$/ponto/ano</t>
        </is>
      </c>
      <c r="C29" s="110" t="n">
        <v>600</v>
      </c>
      <c r="H29" s="70" t="inlineStr">
        <is>
          <t>Preco no ano-base. Os anos seguintes recebem o reajuste contratual</t>
        </is>
      </c>
    </row>
    <row r="30" ht="14.25" customHeight="1" s="68">
      <c r="A30" s="109" t="inlineStr">
        <is>
          <t>Preco do ano</t>
        </is>
      </c>
      <c r="B30" s="113" t="inlineStr">
        <is>
          <t>R$/ponto/ano</t>
        </is>
      </c>
      <c r="C30" s="115">
        <f>N($C$29)*(1+$B$8)^C28</f>
        <v/>
      </c>
      <c r="D30" s="115">
        <f>N($C$29)*(1+$B$8)^D28</f>
        <v/>
      </c>
      <c r="E30" s="115">
        <f>N($C$29)*(1+$B$8)^E28</f>
        <v/>
      </c>
      <c r="F30" s="115">
        <f>N($C$29)*(1+$B$8)^F28</f>
        <v/>
      </c>
      <c r="G30" s="115">
        <f>N($C$29)*(1+$B$8)^G28</f>
        <v/>
      </c>
    </row>
    <row r="31" ht="14.25" customHeight="1" s="68">
      <c r="A31" s="96" t="inlineStr">
        <is>
          <t>Novas adesoes no ano</t>
        </is>
      </c>
      <c r="B31" s="113" t="inlineStr">
        <is>
          <t>pontos</t>
        </is>
      </c>
      <c r="C31" s="116" t="n">
        <v>0</v>
      </c>
      <c r="D31" s="116" t="n">
        <v>500</v>
      </c>
      <c r="E31" s="116" t="n">
        <v>500</v>
      </c>
      <c r="F31" s="116" t="n">
        <v>500</v>
      </c>
      <c r="G31" s="116" t="n">
        <v>500</v>
      </c>
    </row>
    <row r="32" ht="14.25" customHeight="1" s="68">
      <c r="A32" s="96" t="inlineStr">
        <is>
          <t>Base ativa acumulada</t>
        </is>
      </c>
      <c r="B32" s="113" t="inlineStr">
        <is>
          <t>pontos</t>
        </is>
      </c>
      <c r="C32" s="79">
        <f>N(C31)</f>
        <v/>
      </c>
      <c r="D32" s="79">
        <f>C32+N(D31)</f>
        <v/>
      </c>
      <c r="E32" s="79">
        <f>D32+N(E31)</f>
        <v/>
      </c>
      <c r="F32" s="79">
        <f>E32+N(F31)</f>
        <v/>
      </c>
      <c r="G32" s="79">
        <f>F32+N(G31)</f>
        <v/>
      </c>
    </row>
    <row r="33" ht="14.25" customHeight="1" s="68">
      <c r="A33" s="96" t="inlineStr">
        <is>
          <t>Receita do ano</t>
        </is>
      </c>
      <c r="B33" s="113" t="inlineStr">
        <is>
          <t>R$</t>
        </is>
      </c>
      <c r="C33" s="103">
        <f>C32*C30</f>
        <v/>
      </c>
      <c r="D33" s="103">
        <f>D32*D30</f>
        <v/>
      </c>
      <c r="E33" s="103">
        <f>E32*E30</f>
        <v/>
      </c>
      <c r="F33" s="103">
        <f>F32*F30</f>
        <v/>
      </c>
      <c r="G33" s="103">
        <f>G32*G30</f>
        <v/>
      </c>
    </row>
    <row r="34" ht="14.25" customHeight="1" s="68">
      <c r="A34" s="117" t="inlineStr">
        <is>
          <t>(-) Custo variavel</t>
        </is>
      </c>
      <c r="B34" s="113" t="inlineStr">
        <is>
          <t>R$</t>
        </is>
      </c>
      <c r="C34" s="89">
        <f>-C32*N($B$20)*(1+$B$23)^C28</f>
        <v/>
      </c>
      <c r="D34" s="89">
        <f>-D32*N($B$20)*(1+$B$23)^D28</f>
        <v/>
      </c>
      <c r="E34" s="89">
        <f>-E32*N($B$20)*(1+$B$23)^E28</f>
        <v/>
      </c>
      <c r="F34" s="89">
        <f>-F32*N($B$20)*(1+$B$23)^F28</f>
        <v/>
      </c>
      <c r="G34" s="89">
        <f>-G32*N($B$20)*(1+$B$23)^G28</f>
        <v/>
      </c>
    </row>
    <row r="35" ht="14.25" customHeight="1" s="68">
      <c r="A35" s="117" t="inlineStr">
        <is>
          <t>(-) Custo fixo</t>
        </is>
      </c>
      <c r="B35" s="113" t="inlineStr">
        <is>
          <t>R$</t>
        </is>
      </c>
      <c r="C35" s="89">
        <f>-N($B$19)*(1+$B$23)^C28</f>
        <v/>
      </c>
      <c r="D35" s="89">
        <f>-N($B$19)*(1+$B$23)^D28</f>
        <v/>
      </c>
      <c r="E35" s="89">
        <f>-N($B$19)*(1+$B$23)^E28</f>
        <v/>
      </c>
      <c r="F35" s="89">
        <f>-N($B$19)*(1+$B$23)^F28</f>
        <v/>
      </c>
      <c r="G35" s="89">
        <f>-N($B$19)*(1+$B$23)^G28</f>
        <v/>
      </c>
    </row>
    <row r="36" ht="14.25" customHeight="1" s="68">
      <c r="A36" s="96" t="inlineStr">
        <is>
          <t>(=) Resultado de caixa do ano</t>
        </is>
      </c>
      <c r="B36" s="113" t="inlineStr">
        <is>
          <t>R$</t>
        </is>
      </c>
      <c r="C36" s="80">
        <f>C33+C34+C35</f>
        <v/>
      </c>
      <c r="D36" s="80">
        <f>D33+D34+D35</f>
        <v/>
      </c>
      <c r="E36" s="80">
        <f>E33+E34+E35</f>
        <v/>
      </c>
      <c r="F36" s="80">
        <f>F33+F34+F35</f>
        <v/>
      </c>
      <c r="G36" s="80">
        <f>G33+G34+G35</f>
        <v/>
      </c>
    </row>
    <row r="37" ht="14.25" customHeight="1" s="68">
      <c r="A37" s="96" t="inlineStr">
        <is>
          <t>Resultado de caixa acumulado</t>
        </is>
      </c>
      <c r="B37" s="113" t="inlineStr">
        <is>
          <t>R$</t>
        </is>
      </c>
      <c r="C37" s="103">
        <f>C36</f>
        <v/>
      </c>
      <c r="D37" s="103">
        <f>C37+D36</f>
        <v/>
      </c>
      <c r="E37" s="103">
        <f>D37+E36</f>
        <v/>
      </c>
      <c r="F37" s="103">
        <f>E37+F36</f>
        <v/>
      </c>
      <c r="G37" s="103">
        <f>F37+G36</f>
        <v/>
      </c>
    </row>
    <row r="38" ht="14.25" customHeight="1" s="68">
      <c r="A38" s="96" t="inlineStr">
        <is>
          <t>Caixa acumulado apos o investimento</t>
        </is>
      </c>
      <c r="B38" s="113" t="inlineStr">
        <is>
          <t>R$</t>
        </is>
      </c>
      <c r="C38" s="103">
        <f>C37-N($B$13)</f>
        <v/>
      </c>
      <c r="D38" s="103">
        <f>D37-N($B$13)</f>
        <v/>
      </c>
      <c r="E38" s="103">
        <f>E37-N($B$13)</f>
        <v/>
      </c>
      <c r="F38" s="103">
        <f>F37-N($B$13)</f>
        <v/>
      </c>
      <c r="G38" s="103">
        <f>G37-N($B$13)</f>
        <v/>
      </c>
    </row>
    <row r="39" ht="14.25" customHeight="1" s="68">
      <c r="A39" s="109" t="inlineStr">
        <is>
          <t>Resultado contabil (com amortizacao)</t>
        </is>
      </c>
      <c r="B39" s="113" t="inlineStr">
        <is>
          <t>R$</t>
        </is>
      </c>
      <c r="C39" s="89">
        <f>C36-IF(C28&lt;N($B$15),N($B$16),0)</f>
        <v/>
      </c>
      <c r="D39" s="89">
        <f>D36-IF(D28&lt;N($B$15),N($B$16),0)</f>
        <v/>
      </c>
      <c r="E39" s="89">
        <f>E36-IF(E28&lt;N($B$15),N($B$16),0)</f>
        <v/>
      </c>
      <c r="F39" s="89">
        <f>F36-IF(F28&lt;N($B$15),N($B$16),0)</f>
        <v/>
      </c>
      <c r="G39" s="89">
        <f>G36-IF(G28&lt;N($B$15),N($B$16),0)</f>
        <v/>
      </c>
    </row>
    <row r="41" ht="14.25" customHeight="1" s="68">
      <c r="A41" s="106" t="inlineStr">
        <is>
          <t>Indicador</t>
        </is>
      </c>
      <c r="B41" s="107" t="inlineStr">
        <is>
          <t>Valor</t>
        </is>
      </c>
      <c r="C41" s="107" t="n"/>
      <c r="D41" s="107" t="n"/>
      <c r="E41" s="107" t="n"/>
      <c r="F41" s="107" t="n"/>
      <c r="G41" s="107" t="n"/>
      <c r="H41" s="107" t="inlineStr">
        <is>
          <t>Leitura</t>
        </is>
      </c>
    </row>
    <row r="42" ht="14.25" customHeight="1" s="68">
      <c r="A42" s="96" t="inlineStr">
        <is>
          <t>Breakeven em pontos</t>
        </is>
      </c>
      <c r="B42" s="118">
        <f>IF(OR(N($C$29)=0,N($C$29)-N($B$20)&lt;=0),"preencher preco e custo",N($B$19)/(N($C$29)-N($B$20)))</f>
        <v/>
      </c>
      <c r="H42" s="70" t="inlineStr">
        <is>
          <t>Quantidade que paga o custo fixo anual ao preco informado</t>
        </is>
      </c>
    </row>
    <row r="43" ht="14.25" customHeight="1" s="68">
      <c r="A43" s="96" t="inlineStr">
        <is>
          <t>Payback do investimento</t>
        </is>
      </c>
      <c r="B43" s="119">
        <f>IF(OR(N($B$13)=0,MAX($C$38:$G$38)&lt;0),"nao ocorre em 5 anos",MATCH(TRUE(),INDEX($C$38:$G$38&gt;=0,0),0))</f>
        <v/>
      </c>
      <c r="H43" s="70" t="inlineStr">
        <is>
          <t>Ano em que o caixa acumulado cobre o valor pago pela tecnologia</t>
        </is>
      </c>
    </row>
    <row r="44" ht="14.25" customHeight="1" s="68">
      <c r="A44" s="96" t="inlineStr">
        <is>
          <t>ROI em 5 anos</t>
        </is>
      </c>
      <c r="B44" s="104">
        <f>IF(N($B$13)=0,"preencher o investimento",(G37-N($B$13))/N($B$13))</f>
        <v/>
      </c>
      <c r="H44" s="70" t="inlineStr">
        <is>
          <t>Retorno sobre o valor pago, depois de cinco anos de operacao</t>
        </is>
      </c>
    </row>
    <row r="45" ht="14.25" customHeight="1" s="68">
      <c r="A45" s="96" t="inlineStr">
        <is>
          <t>Receita acumulada em 5 anos</t>
        </is>
      </c>
      <c r="B45" s="80">
        <f>SUM(C33:G33)</f>
        <v/>
      </c>
      <c r="H45" s="70" t="inlineStr">
        <is>
          <t>Total faturado no periodo</t>
        </is>
      </c>
    </row>
    <row r="46" ht="14.25" customHeight="1" s="68">
      <c r="A46" s="96" t="inlineStr">
        <is>
          <t>Margem de contribuicao unitaria</t>
        </is>
      </c>
      <c r="B46" s="120">
        <f>N($C$29)-N($B$20)</f>
        <v/>
      </c>
      <c r="H46" s="70" t="inlineStr">
        <is>
          <t>Preco menos custo variavel, por unidade cobrada</t>
        </is>
      </c>
    </row>
    <row r="48" ht="14.25" customHeight="1" s="68">
      <c r="A48" s="72" t="inlineStr">
        <is>
          <t>3. MODELO B — COBRANCA POR HECTARE</t>
        </is>
      </c>
      <c r="B48" s="73" t="n"/>
      <c r="C48" s="73" t="n"/>
      <c r="D48" s="73" t="n"/>
      <c r="E48" s="73" t="n"/>
      <c r="F48" s="73" t="n"/>
      <c r="G48" s="73" t="n"/>
      <c r="H48" s="73" t="n"/>
    </row>
    <row r="49" ht="14.25" customHeight="1" s="68">
      <c r="A49" s="70" t="inlineStr">
        <is>
          <t>Um preco por hectare monitorado. Acompanha o valor gerado ao produtor e escala com fazendas grandes.</t>
        </is>
      </c>
    </row>
    <row r="50" ht="14.25" customHeight="1" s="68">
      <c r="A50" s="71" t="inlineStr">
        <is>
          <t>Indicador</t>
        </is>
      </c>
      <c r="B50" s="71" t="inlineStr">
        <is>
          <t>Unidade</t>
        </is>
      </c>
      <c r="C50" s="112">
        <f>$B$7+0</f>
        <v/>
      </c>
      <c r="D50" s="112">
        <f>$B$7+1</f>
        <v/>
      </c>
      <c r="E50" s="112">
        <f>$B$7+2</f>
        <v/>
      </c>
      <c r="F50" s="112">
        <f>$B$7+3</f>
        <v/>
      </c>
      <c r="G50" s="112">
        <f>$B$7+4</f>
        <v/>
      </c>
    </row>
    <row r="51" ht="14.25" customHeight="1" s="68">
      <c r="A51" s="109" t="inlineStr">
        <is>
          <t>Ano relativo</t>
        </is>
      </c>
      <c r="B51" s="113" t="inlineStr">
        <is>
          <t>n</t>
        </is>
      </c>
      <c r="C51" s="93" t="n">
        <v>0</v>
      </c>
      <c r="D51" s="93" t="n">
        <v>1</v>
      </c>
      <c r="E51" s="93" t="n">
        <v>2</v>
      </c>
      <c r="F51" s="93" t="n">
        <v>3</v>
      </c>
      <c r="G51" s="93" t="n">
        <v>4</v>
      </c>
    </row>
    <row r="52" ht="14.25" customHeight="1" s="68">
      <c r="A52" s="74" t="inlineStr">
        <is>
          <t>Preco por hectare no ano-base</t>
        </is>
      </c>
      <c r="B52" s="114" t="inlineStr">
        <is>
          <t>R$/ha/ano</t>
        </is>
      </c>
      <c r="C52" s="110" t="n">
        <v>15</v>
      </c>
      <c r="H52" s="70" t="inlineStr">
        <is>
          <t>Preco no ano-base. Os anos seguintes recebem o reajuste contratual</t>
        </is>
      </c>
    </row>
    <row r="53" ht="14.25" customHeight="1" s="68">
      <c r="A53" s="109" t="inlineStr">
        <is>
          <t>Preco do ano</t>
        </is>
      </c>
      <c r="B53" s="113" t="inlineStr">
        <is>
          <t>R$/ha/ano</t>
        </is>
      </c>
      <c r="C53" s="115">
        <f>N($C$52)*(1+$B$8)^C51</f>
        <v/>
      </c>
      <c r="D53" s="115">
        <f>N($C$52)*(1+$B$8)^D51</f>
        <v/>
      </c>
      <c r="E53" s="115">
        <f>N($C$52)*(1+$B$8)^E51</f>
        <v/>
      </c>
      <c r="F53" s="115">
        <f>N($C$52)*(1+$B$8)^F51</f>
        <v/>
      </c>
      <c r="G53" s="115">
        <f>N($C$52)*(1+$B$8)^G51</f>
        <v/>
      </c>
    </row>
    <row r="54" ht="14.25" customHeight="1" s="68">
      <c r="A54" s="96" t="inlineStr">
        <is>
          <t>Novas adesoes no ano</t>
        </is>
      </c>
      <c r="B54" s="113" t="inlineStr">
        <is>
          <t>hectares</t>
        </is>
      </c>
      <c r="C54" s="116" t="n"/>
      <c r="D54" s="116" t="n">
        <v>37500</v>
      </c>
      <c r="E54" s="116" t="n">
        <v>37500</v>
      </c>
      <c r="F54" s="116" t="n">
        <v>37500</v>
      </c>
      <c r="G54" s="116" t="n">
        <v>37500</v>
      </c>
    </row>
    <row r="55" ht="14.25" customHeight="1" s="68">
      <c r="A55" s="96" t="inlineStr">
        <is>
          <t>Base ativa acumulada</t>
        </is>
      </c>
      <c r="B55" s="113" t="inlineStr">
        <is>
          <t>hectares</t>
        </is>
      </c>
      <c r="C55" s="79">
        <f>N(C54)</f>
        <v/>
      </c>
      <c r="D55" s="79">
        <f>C55+N(D54)</f>
        <v/>
      </c>
      <c r="E55" s="79">
        <f>D55+N(E54)</f>
        <v/>
      </c>
      <c r="F55" s="79">
        <f>E55+N(F54)</f>
        <v/>
      </c>
      <c r="G55" s="79">
        <f>F55+N(G54)</f>
        <v/>
      </c>
    </row>
    <row r="56" ht="14.25" customHeight="1" s="68">
      <c r="A56" s="96" t="inlineStr">
        <is>
          <t>Receita do ano</t>
        </is>
      </c>
      <c r="B56" s="113" t="inlineStr">
        <is>
          <t>R$</t>
        </is>
      </c>
      <c r="C56" s="103">
        <f>C55*C53</f>
        <v/>
      </c>
      <c r="D56" s="103">
        <f>D55*D53</f>
        <v/>
      </c>
      <c r="E56" s="103">
        <f>E55*E53</f>
        <v/>
      </c>
      <c r="F56" s="103">
        <f>F55*F53</f>
        <v/>
      </c>
      <c r="G56" s="103">
        <f>G55*G53</f>
        <v/>
      </c>
    </row>
    <row r="57" ht="14.25" customHeight="1" s="68">
      <c r="A57" s="117" t="inlineStr">
        <is>
          <t>(-) Custo variavel</t>
        </is>
      </c>
      <c r="B57" s="113" t="inlineStr">
        <is>
          <t>R$</t>
        </is>
      </c>
      <c r="C57" s="89">
        <f>-C55*N($B$21)*(1+$B$23)^C51</f>
        <v/>
      </c>
      <c r="D57" s="89">
        <f>-D55*N($B$21)*(1+$B$23)^D51</f>
        <v/>
      </c>
      <c r="E57" s="89">
        <f>-E55*N($B$21)*(1+$B$23)^E51</f>
        <v/>
      </c>
      <c r="F57" s="89">
        <f>-F55*N($B$21)*(1+$B$23)^F51</f>
        <v/>
      </c>
      <c r="G57" s="89">
        <f>-G55*N($B$21)*(1+$B$23)^G51</f>
        <v/>
      </c>
    </row>
    <row r="58" ht="14.25" customHeight="1" s="68">
      <c r="A58" s="117" t="inlineStr">
        <is>
          <t>(-) Custo fixo</t>
        </is>
      </c>
      <c r="B58" s="113" t="inlineStr">
        <is>
          <t>R$</t>
        </is>
      </c>
      <c r="C58" s="89">
        <f>-N($B$19)*(1+$B$23)^C51</f>
        <v/>
      </c>
      <c r="D58" s="89">
        <f>-N($B$19)*(1+$B$23)^D51</f>
        <v/>
      </c>
      <c r="E58" s="89">
        <f>-N($B$19)*(1+$B$23)^E51</f>
        <v/>
      </c>
      <c r="F58" s="89">
        <f>-N($B$19)*(1+$B$23)^F51</f>
        <v/>
      </c>
      <c r="G58" s="89">
        <f>-N($B$19)*(1+$B$23)^G51</f>
        <v/>
      </c>
    </row>
    <row r="59" ht="14.25" customHeight="1" s="68">
      <c r="A59" s="96" t="inlineStr">
        <is>
          <t>(=) Resultado de caixa do ano</t>
        </is>
      </c>
      <c r="B59" s="113" t="inlineStr">
        <is>
          <t>R$</t>
        </is>
      </c>
      <c r="C59" s="80">
        <f>C56+C57+C58</f>
        <v/>
      </c>
      <c r="D59" s="80">
        <f>D56+D57+D58</f>
        <v/>
      </c>
      <c r="E59" s="80">
        <f>E56+E57+E58</f>
        <v/>
      </c>
      <c r="F59" s="80">
        <f>F56+F57+F58</f>
        <v/>
      </c>
      <c r="G59" s="80">
        <f>G56+G57+G58</f>
        <v/>
      </c>
    </row>
    <row r="60" ht="14.25" customHeight="1" s="68">
      <c r="A60" s="96" t="inlineStr">
        <is>
          <t>Resultado de caixa acumulado</t>
        </is>
      </c>
      <c r="B60" s="113" t="inlineStr">
        <is>
          <t>R$</t>
        </is>
      </c>
      <c r="C60" s="103">
        <f>C59</f>
        <v/>
      </c>
      <c r="D60" s="103">
        <f>C60+D59</f>
        <v/>
      </c>
      <c r="E60" s="103">
        <f>D60+E59</f>
        <v/>
      </c>
      <c r="F60" s="103">
        <f>E60+F59</f>
        <v/>
      </c>
      <c r="G60" s="103">
        <f>F60+G59</f>
        <v/>
      </c>
    </row>
    <row r="61" ht="14.25" customHeight="1" s="68">
      <c r="A61" s="96" t="inlineStr">
        <is>
          <t>Caixa acumulado apos o investimento</t>
        </is>
      </c>
      <c r="B61" s="113" t="inlineStr">
        <is>
          <t>R$</t>
        </is>
      </c>
      <c r="C61" s="103">
        <f>C60-N($B$13)</f>
        <v/>
      </c>
      <c r="D61" s="103">
        <f>D60-N($B$13)</f>
        <v/>
      </c>
      <c r="E61" s="103">
        <f>E60-N($B$13)</f>
        <v/>
      </c>
      <c r="F61" s="103">
        <f>F60-N($B$13)</f>
        <v/>
      </c>
      <c r="G61" s="103">
        <f>G60-N($B$13)</f>
        <v/>
      </c>
    </row>
    <row r="62" ht="14.25" customHeight="1" s="68">
      <c r="A62" s="109" t="inlineStr">
        <is>
          <t>Resultado contabil (com amortizacao)</t>
        </is>
      </c>
      <c r="B62" s="113" t="inlineStr">
        <is>
          <t>R$</t>
        </is>
      </c>
      <c r="C62" s="89">
        <f>C59-IF(C51&lt;N($B$15),N($B$16),0)</f>
        <v/>
      </c>
      <c r="D62" s="89">
        <f>D59-IF(D51&lt;N($B$15),N($B$16),0)</f>
        <v/>
      </c>
      <c r="E62" s="89">
        <f>E59-IF(E51&lt;N($B$15),N($B$16),0)</f>
        <v/>
      </c>
      <c r="F62" s="89">
        <f>F59-IF(F51&lt;N($B$15),N($B$16),0)</f>
        <v/>
      </c>
      <c r="G62" s="89">
        <f>G59-IF(G51&lt;N($B$15),N($B$16),0)</f>
        <v/>
      </c>
    </row>
    <row r="64" ht="14.25" customHeight="1" s="68">
      <c r="A64" s="106" t="inlineStr">
        <is>
          <t>Indicador</t>
        </is>
      </c>
      <c r="B64" s="107" t="inlineStr">
        <is>
          <t>Valor</t>
        </is>
      </c>
      <c r="C64" s="107" t="n"/>
      <c r="D64" s="107" t="n"/>
      <c r="E64" s="107" t="n"/>
      <c r="F64" s="107" t="n"/>
      <c r="G64" s="107" t="n"/>
      <c r="H64" s="107" t="inlineStr">
        <is>
          <t>Leitura</t>
        </is>
      </c>
    </row>
    <row r="65" ht="14.25" customHeight="1" s="68">
      <c r="A65" s="96" t="inlineStr">
        <is>
          <t>Breakeven em hectares</t>
        </is>
      </c>
      <c r="B65" s="118">
        <f>IF(OR(N($C$52)=0,N($C$52)-N($B$21)&lt;=0),"preencher preco e custo",N($B$19)/(N($C$52)-N($B$21)))</f>
        <v/>
      </c>
      <c r="H65" s="70" t="inlineStr">
        <is>
          <t>Quantidade que paga o custo fixo anual ao preco informado</t>
        </is>
      </c>
    </row>
    <row r="66" ht="14.25" customHeight="1" s="68">
      <c r="A66" s="96" t="inlineStr">
        <is>
          <t>Payback do investimento</t>
        </is>
      </c>
      <c r="B66" s="119">
        <f>IF(OR(N($B$13)=0,MAX($C$61:$G$61)&lt;0),"nao ocorre em 5 anos",MATCH(TRUE(),INDEX($C$61:$G$61&gt;=0,0),0))</f>
        <v/>
      </c>
      <c r="H66" s="70" t="inlineStr">
        <is>
          <t>Ano em que o caixa acumulado cobre o valor pago pela tecnologia</t>
        </is>
      </c>
    </row>
    <row r="67" ht="14.25" customHeight="1" s="68">
      <c r="A67" s="96" t="inlineStr">
        <is>
          <t>ROI em 5 anos</t>
        </is>
      </c>
      <c r="B67" s="104">
        <f>IF(N($B$13)=0,"preencher o investimento",(G60-N($B$13))/N($B$13))</f>
        <v/>
      </c>
      <c r="H67" s="70" t="inlineStr">
        <is>
          <t>Retorno sobre o valor pago, depois de cinco anos de operacao</t>
        </is>
      </c>
    </row>
    <row r="68" ht="14.25" customHeight="1" s="68">
      <c r="A68" s="96" t="inlineStr">
        <is>
          <t>Receita acumulada em 5 anos</t>
        </is>
      </c>
      <c r="B68" s="80">
        <f>SUM(C56:G56)</f>
        <v/>
      </c>
      <c r="H68" s="70" t="inlineStr">
        <is>
          <t>Total faturado no periodo</t>
        </is>
      </c>
    </row>
    <row r="69" ht="14.25" customHeight="1" s="68">
      <c r="A69" s="96" t="inlineStr">
        <is>
          <t>Margem de contribuicao unitaria</t>
        </is>
      </c>
      <c r="B69" s="120">
        <f>N($C$52)-N($B$21)</f>
        <v/>
      </c>
      <c r="H69" s="70" t="inlineStr">
        <is>
          <t>Preco menos custo variavel, por unidade cobrada</t>
        </is>
      </c>
    </row>
    <row r="71" ht="14.25" customHeight="1" s="68">
      <c r="A71" s="72" t="inlineStr">
        <is>
          <t>4. EQUIVALENCIA E DECISAO</t>
        </is>
      </c>
      <c r="B71" s="73" t="n"/>
      <c r="C71" s="73" t="n"/>
      <c r="D71" s="73" t="n"/>
      <c r="E71" s="73" t="n"/>
      <c r="F71" s="73" t="n"/>
      <c r="G71" s="73" t="n"/>
      <c r="H71" s="73" t="n"/>
    </row>
    <row r="72" ht="14.25" customHeight="1" s="68">
      <c r="A72" s="106" t="inlineStr">
        <is>
          <t>Indicador</t>
        </is>
      </c>
      <c r="B72" s="107" t="inlineStr">
        <is>
          <t>Por ponto</t>
        </is>
      </c>
      <c r="C72" s="107" t="inlineStr">
        <is>
          <t>Por hectare</t>
        </is>
      </c>
      <c r="D72" s="107" t="n"/>
      <c r="E72" s="107" t="n"/>
      <c r="F72" s="107" t="n"/>
      <c r="G72" s="107" t="n"/>
      <c r="H72" s="107" t="inlineStr">
        <is>
          <t>Leitura</t>
        </is>
      </c>
    </row>
    <row r="73" ht="14.25" customHeight="1" s="68">
      <c r="A73" s="96" t="inlineStr">
        <is>
          <t>Preco informado</t>
        </is>
      </c>
      <c r="B73" s="121">
        <f>N($C$29)</f>
        <v/>
      </c>
      <c r="C73" s="121">
        <f>N($C$52)</f>
        <v/>
      </c>
      <c r="H73" s="70" t="inlineStr">
        <is>
          <t>O que foi digitado em cada modelo</t>
        </is>
      </c>
    </row>
    <row r="74" ht="14.25" customHeight="1" s="68">
      <c r="A74" s="96" t="inlineStr">
        <is>
          <t>Preco equivalente no outro modelo</t>
        </is>
      </c>
      <c r="B74" s="121">
        <f>IF(N($B$22)=0,"-",N($C$52)*N($B$22))</f>
        <v/>
      </c>
      <c r="C74" s="121">
        <f>IF(N($B$22)=0,"-",N($C$29)/N($B$22))</f>
        <v/>
      </c>
      <c r="H74" s="70" t="inlineStr">
        <is>
          <t>Converte um preco no outro pela media de hectares por pivo</t>
        </is>
      </c>
    </row>
    <row r="75" ht="14.25" customHeight="1" s="68">
      <c r="A75" s="96" t="inlineStr">
        <is>
          <t>Margem de contribuicao unitaria</t>
        </is>
      </c>
      <c r="B75" s="121">
        <f>N($B$46)</f>
        <v/>
      </c>
      <c r="C75" s="121">
        <f>N($B$69)</f>
        <v/>
      </c>
      <c r="H75" s="70" t="inlineStr">
        <is>
          <t>Preco menos custo variavel</t>
        </is>
      </c>
    </row>
    <row r="76" ht="14.25" customHeight="1" s="68">
      <c r="A76" s="96" t="inlineStr">
        <is>
          <t>Receita acumulada em 5 anos</t>
        </is>
      </c>
      <c r="B76" s="103">
        <f>N($B$45)</f>
        <v/>
      </c>
      <c r="C76" s="103">
        <f>N($B$68)</f>
        <v/>
      </c>
      <c r="H76" s="70" t="inlineStr">
        <is>
          <t>Total faturado com o volume informado em cada modelo</t>
        </is>
      </c>
    </row>
    <row r="77" ht="14.25" customHeight="1" s="68">
      <c r="A77" s="96" t="inlineStr">
        <is>
          <t>Breakeven</t>
        </is>
      </c>
      <c r="B77" s="122">
        <f>$B$42</f>
        <v/>
      </c>
      <c r="C77" s="122">
        <f>$B$65</f>
        <v/>
      </c>
      <c r="H77" s="70" t="inlineStr">
        <is>
          <t>Quantidade necessaria para cobrir o custo fixo</t>
        </is>
      </c>
    </row>
    <row r="78" ht="14.25" customHeight="1" s="68">
      <c r="A78" s="96" t="inlineStr">
        <is>
          <t>Payback do investimento</t>
        </is>
      </c>
      <c r="B78" s="123">
        <f>$B$43</f>
        <v/>
      </c>
      <c r="C78" s="123">
        <f>$B$66</f>
        <v/>
      </c>
      <c r="H78" s="70" t="inlineStr">
        <is>
          <t>Ano em que o valor pago pela tecnologia volta ao caixa</t>
        </is>
      </c>
    </row>
    <row r="79" ht="14.25" customHeight="1" s="68">
      <c r="A79" s="96" t="inlineStr">
        <is>
          <t>ROI em 5 anos</t>
        </is>
      </c>
      <c r="B79" s="100">
        <f>$B$44</f>
        <v/>
      </c>
      <c r="C79" s="100">
        <f>$B$67</f>
        <v/>
      </c>
      <c r="H79" s="70" t="inlineStr">
        <is>
          <t>Retorno sobre o investimento</t>
        </is>
      </c>
    </row>
    <row r="80" ht="14.25" customHeight="1" s="68">
      <c r="A80" s="96" t="inlineStr">
        <is>
          <t>Modelo com maior receita em 5 anos</t>
        </is>
      </c>
      <c r="B80" s="124">
        <f>IF(AND(N($B$45)=0,N($B$68)=0),"preencher os volumes",IF(N($B$45)&gt;=N($B$68),"Por ponto","Por hectare"))</f>
        <v/>
      </c>
      <c r="H80" s="70" t="inlineStr">
        <is>
          <t>Criterio de receita bruta, sem considerar esforco de venda</t>
        </is>
      </c>
    </row>
    <row r="81" ht="14.25" customHeight="1" s="68">
      <c r="A81" s="96" t="inlineStr">
        <is>
          <t>Modelo com payback mais rapido</t>
        </is>
      </c>
      <c r="B81" s="124">
        <f>IF(OR(NOT(ISNUMBER($B$43)),NOT(ISNUMBER($B$66))),"preencher as premissas",IF($B$43&lt;=$B$66,"Por ponto","Por hectare"))</f>
        <v/>
      </c>
      <c r="H81" s="70" t="inlineStr">
        <is>
          <t>Criterio de risco: quanto antes o investimento volta, menor a exposicao</t>
        </is>
      </c>
    </row>
    <row r="83" ht="14.25" customHeight="1" s="68">
      <c r="A83" s="72" t="inlineStr">
        <is>
          <t>5. PRECO MINIMO PARA UM ALVO DE PAYBACK</t>
        </is>
      </c>
      <c r="B83" s="73" t="n"/>
      <c r="C83" s="73" t="n"/>
      <c r="D83" s="73" t="n"/>
      <c r="E83" s="73" t="n"/>
      <c r="F83" s="73" t="n"/>
      <c r="G83" s="73" t="n"/>
      <c r="H83" s="73" t="n"/>
    </row>
    <row r="84" ht="14.25" customHeight="1" s="68">
      <c r="A84" s="70" t="inlineStr">
        <is>
          <t>A pergunta invertida: em vez de testar um preco, o modelo devolve o preco necessario para o investimento voltar no prazo desejado.</t>
        </is>
      </c>
    </row>
    <row r="85" ht="14.25" customHeight="1" s="68">
      <c r="A85" s="106" t="inlineStr">
        <is>
          <t>Parametro</t>
        </is>
      </c>
      <c r="B85" s="107" t="inlineStr">
        <is>
          <t>Valor</t>
        </is>
      </c>
      <c r="C85" s="107" t="inlineStr">
        <is>
          <t>Unidade</t>
        </is>
      </c>
      <c r="D85" s="107" t="n"/>
      <c r="E85" s="107" t="n"/>
      <c r="F85" s="107" t="n"/>
      <c r="G85" s="107" t="n"/>
      <c r="H85" s="107" t="inlineStr">
        <is>
          <t>Nota</t>
        </is>
      </c>
    </row>
    <row r="86" ht="14.25" customHeight="1" s="68">
      <c r="A86" s="74" t="inlineStr">
        <is>
          <t>Prazo desejado de payback</t>
        </is>
      </c>
      <c r="B86" s="77" t="n">
        <v>3</v>
      </c>
      <c r="C86" s="108" t="inlineStr">
        <is>
          <t>anos</t>
        </is>
      </c>
      <c r="H86" s="70" t="inlineStr">
        <is>
          <t>Em quantos anos o investimento deve voltar</t>
        </is>
      </c>
    </row>
    <row r="87" ht="14.25" customHeight="1" s="68">
      <c r="A87" s="74" t="inlineStr">
        <is>
          <t>Pontos monitorados esperados no prazo</t>
        </is>
      </c>
      <c r="B87" s="77" t="n">
        <v>2000</v>
      </c>
      <c r="C87" s="108" t="inlineStr">
        <is>
          <t>pontos</t>
        </is>
      </c>
      <c r="H87" s="70" t="inlineStr">
        <is>
          <t>Base media que o comercial acredita alcancar</t>
        </is>
      </c>
    </row>
    <row r="88" ht="14.25" customHeight="1" s="68">
      <c r="A88" s="74" t="inlineStr">
        <is>
          <t>Hectares monitorados esperados no prazo</t>
        </is>
      </c>
      <c r="B88" s="77" t="n">
        <v>150000</v>
      </c>
      <c r="C88" s="108" t="inlineStr">
        <is>
          <t>hectares</t>
        </is>
      </c>
      <c r="H88" s="70" t="inlineStr">
        <is>
          <t>Area media que o comercial acredita alcancar</t>
        </is>
      </c>
    </row>
    <row r="89" ht="14.25" customHeight="1" s="68">
      <c r="A89" s="96" t="inlineStr">
        <is>
          <t>Preco minimo por ponto</t>
        </is>
      </c>
      <c r="B89" s="125">
        <f>IF(OR(N($B$87)=0,N($B$86)=0),"preencher o alvo",(N($B$13)+N($B$19)*N($B$86))/(N($B$87)*N($B$86))+N($B$20))</f>
        <v/>
      </c>
      <c r="H89" s="70" t="inlineStr">
        <is>
          <t>Cobre o investimento, o custo fixo do periodo e o custo variavel</t>
        </is>
      </c>
    </row>
    <row r="90" ht="14.25" customHeight="1" s="68">
      <c r="A90" s="96" t="inlineStr">
        <is>
          <t>Preco minimo por hectare</t>
        </is>
      </c>
      <c r="B90" s="125">
        <f>IF(OR(N($B$88)=0,N($B$86)=0),"preencher o alvo",(N($B$13)+N($B$19)*N($B$86))/(N($B$88)*N($B$86))+N($B$21))</f>
        <v/>
      </c>
      <c r="H90" s="70" t="inlineStr">
        <is>
          <t>Mesmo calculo, com a area como unidade de cobranca</t>
        </is>
      </c>
    </row>
    <row r="91" ht="14.25" customHeight="1" s="68">
      <c r="A91" s="96" t="inlineStr">
        <is>
          <t>Preco minimo por ponto em percentual da anuidade</t>
        </is>
      </c>
      <c r="B91" s="126">
        <f>IFERROR(B89/#REF!,"-")</f>
        <v/>
      </c>
      <c r="H91" s="70" t="inlineStr">
        <is>
          <t>Ordem de grandeza contra a anuidade de plataforma ja cobrada</t>
        </is>
      </c>
    </row>
    <row r="93" ht="14.25" customHeight="1" s="68">
      <c r="A93" s="72" t="inlineStr">
        <is>
          <t>FONTE DOS CUSTOS</t>
        </is>
      </c>
      <c r="B93" s="73" t="n"/>
      <c r="C93" s="73" t="n"/>
      <c r="D93" s="73" t="n"/>
      <c r="E93" s="73" t="n"/>
      <c r="F93" s="73" t="n"/>
      <c r="G93" s="73" t="n"/>
      <c r="H93" s="73" t="n"/>
    </row>
    <row r="94" ht="42" customHeight="1" s="68">
      <c r="A94" s="127" t="inlineStr">
        <is>
          <t>Project Cost and Revenue Estimation.xlsx — enviado por William em 25/08/2026. Custos de GEE (Google Earth Engine) e servidor em escala plena (Fase 3, 3.500 pivos), cambio de referencia da propria fonte: R$5,80/US$. Nao ha, na fonte, uma linha de custo de time/desenvolvimento pago por ano — por isso essa premissa segue em branco.</t>
        </is>
      </c>
    </row>
  </sheetData>
  <mergeCells count="1">
    <mergeCell ref="A94:H9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tabColor rgb="FF12558C"/>
    <outlinePr summaryBelow="1" summaryRight="1"/>
    <pageSetUpPr fitToPage="0"/>
  </sheetPr>
  <dimension ref="A1:K5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L6" activeCellId="0" sqref="L6"/>
    </sheetView>
  </sheetViews>
  <sheetFormatPr baseColWidth="8" defaultColWidth="8.66796875" defaultRowHeight="14.25" zeroHeight="0" outlineLevelRow="0"/>
  <cols>
    <col width="22" customWidth="1" style="67" min="1" max="1"/>
    <col width="18" customWidth="1" style="67" min="2" max="2"/>
    <col width="20" customWidth="1" style="67" min="3" max="6"/>
    <col width="10" customWidth="1" style="67" min="7" max="7"/>
    <col width="12" customWidth="1" style="67" min="8" max="8"/>
    <col width="10" customWidth="1" style="67" min="9" max="9"/>
    <col width="60" customWidth="1" style="67" min="10" max="10"/>
    <col width="3.34" customWidth="1" style="67" min="11" max="11"/>
  </cols>
  <sheetData>
    <row r="1" ht="17.25" customHeight="1" s="68">
      <c r="A1" s="69" t="inlineStr">
        <is>
          <t>Mercado — onde o manejo tem mais espaco</t>
        </is>
      </c>
      <c r="K1" s="67" t="inlineStr">
        <is>
          <t xml:space="preserve"> </t>
        </is>
      </c>
    </row>
    <row r="2" ht="14.25" customHeight="1" s="68">
      <c r="A2" s="70" t="inlineStr">
        <is>
          <t>Area irrigada cruzada com a fatia sob aspersao mecanizada e com a maturidade de manejo. As notas sao editaveis.</t>
        </is>
      </c>
    </row>
    <row r="4" ht="14.25" customHeight="1" s="68">
      <c r="A4" s="72" t="inlineStr">
        <is>
          <t>COMO O SCORE E CALCULADO</t>
        </is>
      </c>
      <c r="B4" s="73" t="n"/>
      <c r="C4" s="73" t="n"/>
      <c r="D4" s="73" t="n"/>
      <c r="E4" s="73" t="n"/>
      <c r="F4" s="73" t="n"/>
      <c r="G4" s="73" t="n"/>
      <c r="H4" s="73" t="n"/>
      <c r="I4" s="73" t="n"/>
      <c r="J4" s="73" t="n"/>
    </row>
    <row r="5" ht="14.25" customHeight="1" s="68">
      <c r="A5" s="70" t="inlineStr">
        <is>
          <t>Area enderecavel = area irrigada x fatia sob aspersao mecanizada. E o pedaco do pais onde pivo e monitoramento fazem sentido.</t>
        </is>
      </c>
    </row>
    <row r="6" ht="14.25" customHeight="1" s="68">
      <c r="A6" s="70" t="inlineStr">
        <is>
          <t>Score = area enderecavel x lacuna de manejo x acessibilidade comercial, dividido por mil.</t>
        </is>
      </c>
    </row>
    <row r="7" ht="14.25" customHeight="1" s="68">
      <c r="A7" s="70" t="inlineStr">
        <is>
          <t>Lacuna de manejo = 4 menos a nota de maturidade. Pais com manejo consolidado tem lacuna 1; pais sem cultura de manejo tem lacuna 3.</t>
        </is>
      </c>
    </row>
    <row r="8" ht="14.25" customHeight="1" s="68">
      <c r="A8" s="70" t="inlineStr">
        <is>
          <t>Fatia sob aspersao, maturidade e acessibilidade sao estimativas editaveis. Substitua pelo que o time comercial souber de cada praca.</t>
        </is>
      </c>
    </row>
    <row r="10" ht="14.25" customHeight="1" s="68">
      <c r="A10" s="72" t="inlineStr">
        <is>
          <t>PAISES POR AREA ENDERECAVEL E LACUNA DE MANEJO</t>
        </is>
      </c>
      <c r="B10" s="73" t="n"/>
      <c r="C10" s="73" t="n"/>
      <c r="D10" s="73" t="n"/>
      <c r="E10" s="73" t="n"/>
      <c r="F10" s="73" t="n"/>
      <c r="G10" s="73" t="n"/>
      <c r="H10" s="73" t="n"/>
      <c r="I10" s="73" t="n"/>
      <c r="J10" s="73" t="n"/>
    </row>
    <row r="11" ht="45.75" customHeight="1" s="68">
      <c r="A11" s="106" t="inlineStr">
        <is>
          <t>Pais</t>
        </is>
      </c>
      <c r="B11" s="107" t="inlineStr">
        <is>
          <t>Area irrigada
(mil ha)</t>
        </is>
      </c>
      <c r="C11" s="107" t="inlineStr">
        <is>
          <t>Aspersao mecanizada
(% da area)</t>
        </is>
      </c>
      <c r="D11" s="107" t="inlineStr">
        <is>
          <t>Area enderecavel
(mil ha)</t>
        </is>
      </c>
      <c r="E11" s="107" t="inlineStr">
        <is>
          <t>Maturidade de manejo
(1 baixa a 3 alta)</t>
        </is>
      </c>
      <c r="F11" s="107" t="inlineStr">
        <is>
          <t>Acessibilidade comercial
(1 a 5)</t>
        </is>
      </c>
      <c r="G11" s="107" t="inlineStr">
        <is>
          <t>Lacuna</t>
        </is>
      </c>
      <c r="H11" s="107" t="inlineStr">
        <is>
          <t>Score</t>
        </is>
      </c>
      <c r="I11" s="107" t="inlineStr">
        <is>
          <t>Posicao</t>
        </is>
      </c>
      <c r="J11" s="107" t="inlineStr">
        <is>
          <t>Observacao</t>
        </is>
      </c>
    </row>
    <row r="12" ht="14.25" customHeight="1" s="68">
      <c r="A12" s="96" t="inlineStr">
        <is>
          <t>India</t>
        </is>
      </c>
      <c r="B12" s="101" t="n">
        <v>71554</v>
      </c>
      <c r="C12" s="82" t="n">
        <v>0.02</v>
      </c>
      <c r="D12" s="128">
        <f>B12*C12</f>
        <v/>
      </c>
      <c r="E12" s="91" t="n">
        <v>1</v>
      </c>
      <c r="F12" s="91" t="n">
        <v>2</v>
      </c>
      <c r="G12" s="93">
        <f>4-E12</f>
        <v/>
      </c>
      <c r="H12" s="122">
        <f>D12*G12*F12/1000</f>
        <v/>
      </c>
      <c r="I12" s="123">
        <f>RANK(H12,$H$12:$H$34)</f>
        <v/>
      </c>
      <c r="J12" s="70" t="inlineStr">
        <is>
          <t>Area gigantesca, mas irrigacao por canal e superficie. Pouco pivo</t>
        </is>
      </c>
    </row>
    <row r="13" ht="14.25" customHeight="1" s="68">
      <c r="A13" s="96" t="inlineStr">
        <is>
          <t>China</t>
        </is>
      </c>
      <c r="B13" s="101" t="n">
        <v>69160</v>
      </c>
      <c r="C13" s="82" t="n">
        <v>0.06</v>
      </c>
      <c r="D13" s="128">
        <f>B13*C13</f>
        <v/>
      </c>
      <c r="E13" s="91" t="n">
        <v>1</v>
      </c>
      <c r="F13" s="91" t="n">
        <v>1</v>
      </c>
      <c r="G13" s="93">
        <f>4-E13</f>
        <v/>
      </c>
      <c r="H13" s="122">
        <f>D13*G13*F13/1000</f>
        <v/>
      </c>
      <c r="I13" s="123">
        <f>RANK(H13,$H$12:$H$34)</f>
        <v/>
      </c>
      <c r="J13" s="70" t="inlineStr">
        <is>
          <t>Escala enorme com barreira regulatoria e necessidade de parceiro local</t>
        </is>
      </c>
    </row>
    <row r="14" ht="14.25" customHeight="1" s="68">
      <c r="A14" s="96" t="inlineStr">
        <is>
          <t>Estados Unidos</t>
        </is>
      </c>
      <c r="B14" s="101" t="n">
        <v>21490</v>
      </c>
      <c r="C14" s="82" t="n">
        <v>0.55</v>
      </c>
      <c r="D14" s="128">
        <f>B14*C14</f>
        <v/>
      </c>
      <c r="E14" s="91" t="n">
        <v>3</v>
      </c>
      <c r="F14" s="91" t="n">
        <v>3</v>
      </c>
      <c r="G14" s="93">
        <f>4-E14</f>
        <v/>
      </c>
      <c r="H14" s="122">
        <f>D14*G14*F14/1000</f>
        <v/>
      </c>
      <c r="I14" s="123">
        <f>RANK(H14,$H$12:$H$34)</f>
        <v/>
      </c>
      <c r="J14" s="70" t="inlineStr">
        <is>
          <t>Maior parque de pivos do mundo, com manejo ja consolidado</t>
        </is>
      </c>
    </row>
    <row r="15" ht="14.25" customHeight="1" s="68">
      <c r="A15" s="96" t="inlineStr">
        <is>
          <t>Paquistao</t>
        </is>
      </c>
      <c r="B15" s="101" t="n">
        <v>19340</v>
      </c>
      <c r="C15" s="82" t="n">
        <v>0.01</v>
      </c>
      <c r="D15" s="128">
        <f>B15*C15</f>
        <v/>
      </c>
      <c r="E15" s="91" t="n">
        <v>1</v>
      </c>
      <c r="F15" s="91" t="n">
        <v>1</v>
      </c>
      <c r="G15" s="93">
        <f>4-E15</f>
        <v/>
      </c>
      <c r="H15" s="122">
        <f>D15*G15*F15/1000</f>
        <v/>
      </c>
      <c r="I15" s="123">
        <f>RANK(H15,$H$12:$H$34)</f>
        <v/>
      </c>
      <c r="J15" s="70" t="inlineStr">
        <is>
          <t>Estresse hidrico severo e baixa capacidade de pagamento</t>
        </is>
      </c>
    </row>
    <row r="16" ht="14.25" customHeight="1" s="68">
      <c r="A16" s="96" t="inlineStr">
        <is>
          <t>Indonesia</t>
        </is>
      </c>
      <c r="B16" s="101" t="n">
        <v>9136</v>
      </c>
      <c r="C16" s="82" t="n">
        <v>0.01</v>
      </c>
      <c r="D16" s="128">
        <f>B16*C16</f>
        <v/>
      </c>
      <c r="E16" s="91" t="n">
        <v>1</v>
      </c>
      <c r="F16" s="91" t="n">
        <v>2</v>
      </c>
      <c r="G16" s="93">
        <f>4-E16</f>
        <v/>
      </c>
      <c r="H16" s="122">
        <f>D16*G16*F16/1000</f>
        <v/>
      </c>
      <c r="I16" s="123">
        <f>RANK(H16,$H$12:$H$34)</f>
        <v/>
      </c>
      <c r="J16" s="70" t="inlineStr">
        <is>
          <t>Arroz irrigado, quase sem pivo</t>
        </is>
      </c>
    </row>
    <row r="17" ht="14.25" customHeight="1" s="68">
      <c r="A17" s="96" t="inlineStr">
        <is>
          <t>Ira</t>
        </is>
      </c>
      <c r="B17" s="101" t="n">
        <v>7972</v>
      </c>
      <c r="C17" s="82" t="n">
        <v>0.08</v>
      </c>
      <c r="D17" s="128">
        <f>B17*C17</f>
        <v/>
      </c>
      <c r="E17" s="91" t="n">
        <v>1</v>
      </c>
      <c r="F17" s="91" t="n">
        <v>1</v>
      </c>
      <c r="G17" s="93">
        <f>4-E17</f>
        <v/>
      </c>
      <c r="H17" s="122">
        <f>D17*G17*F17/1000</f>
        <v/>
      </c>
      <c r="I17" s="123">
        <f>RANK(H17,$H$12:$H$34)</f>
        <v/>
      </c>
      <c r="J17" s="70" t="inlineStr">
        <is>
          <t>Restricao geopolitica</t>
        </is>
      </c>
    </row>
    <row r="18" ht="14.25" customHeight="1" s="68">
      <c r="A18" s="96" t="inlineStr">
        <is>
          <t>Brasil</t>
        </is>
      </c>
      <c r="B18" s="101" t="n">
        <v>6903</v>
      </c>
      <c r="C18" s="82" t="n">
        <v>0.27</v>
      </c>
      <c r="D18" s="128">
        <f>B18*C18</f>
        <v/>
      </c>
      <c r="E18" s="91" t="n">
        <v>2</v>
      </c>
      <c r="F18" s="91" t="n">
        <v>5</v>
      </c>
      <c r="G18" s="93">
        <f>4-E18</f>
        <v/>
      </c>
      <c r="H18" s="122">
        <f>D18*G18*F18/1000</f>
        <v/>
      </c>
      <c r="I18" s="123">
        <f>RANK(H18,$H$12:$H$34)</f>
        <v/>
      </c>
      <c r="J18" s="70" t="inlineStr">
        <is>
          <t>Mercado de origem. 33.846 pivos e 2,2 milhoes de ha em 2024</t>
        </is>
      </c>
    </row>
    <row r="19" ht="14.25" customHeight="1" s="68">
      <c r="A19" s="96" t="inlineStr">
        <is>
          <t>Tailandia</t>
        </is>
      </c>
      <c r="B19" s="101" t="n">
        <v>6415</v>
      </c>
      <c r="C19" s="82" t="n">
        <v>0.01</v>
      </c>
      <c r="D19" s="128">
        <f>B19*C19</f>
        <v/>
      </c>
      <c r="E19" s="91" t="n">
        <v>1</v>
      </c>
      <c r="F19" s="91" t="n">
        <v>2</v>
      </c>
      <c r="G19" s="93">
        <f>4-E19</f>
        <v/>
      </c>
      <c r="H19" s="122">
        <f>D19*G19*F19/1000</f>
        <v/>
      </c>
      <c r="I19" s="123">
        <f>RANK(H19,$H$12:$H$34)</f>
        <v/>
      </c>
      <c r="J19" s="70" t="inlineStr">
        <is>
          <t>Irrigacao de arroz predominante</t>
        </is>
      </c>
    </row>
    <row r="20" ht="14.25" customHeight="1" s="68">
      <c r="A20" s="96" t="inlineStr">
        <is>
          <t>Mexico</t>
        </is>
      </c>
      <c r="B20" s="101" t="n">
        <v>6062</v>
      </c>
      <c r="C20" s="82" t="n">
        <v>0.25</v>
      </c>
      <c r="D20" s="128">
        <f>B20*C20</f>
        <v/>
      </c>
      <c r="E20" s="91" t="n">
        <v>2</v>
      </c>
      <c r="F20" s="91" t="n">
        <v>4</v>
      </c>
      <c r="G20" s="93">
        <f>4-E20</f>
        <v/>
      </c>
      <c r="H20" s="122">
        <f>D20*G20*F20/1000</f>
        <v/>
      </c>
      <c r="I20" s="123">
        <f>RANK(H20,$H$12:$H$34)</f>
        <v/>
      </c>
      <c r="J20" s="70" t="inlineStr">
        <is>
          <t>Pivo relevante no norte, escassez hidrica crescente</t>
        </is>
      </c>
    </row>
    <row r="21" ht="14.25" customHeight="1" s="68">
      <c r="A21" s="96" t="inlineStr">
        <is>
          <t>Turquia</t>
        </is>
      </c>
      <c r="B21" s="101" t="n">
        <v>5215</v>
      </c>
      <c r="C21" s="82" t="n">
        <v>0.15</v>
      </c>
      <c r="D21" s="128">
        <f>B21*C21</f>
        <v/>
      </c>
      <c r="E21" s="91" t="n">
        <v>1</v>
      </c>
      <c r="F21" s="91" t="n">
        <v>3</v>
      </c>
      <c r="G21" s="93">
        <f>4-E21</f>
        <v/>
      </c>
      <c r="H21" s="122">
        <f>D21*G21*F21/1000</f>
        <v/>
      </c>
      <c r="I21" s="123">
        <f>RANK(H21,$H$12:$H$34)</f>
        <v/>
      </c>
      <c r="J21" s="70" t="inlineStr">
        <is>
          <t>Parque de pivo em expansao e manejo incipiente</t>
        </is>
      </c>
    </row>
    <row r="22" ht="14.25" customHeight="1" s="68">
      <c r="A22" s="96" t="inlineStr">
        <is>
          <t>Vietna</t>
        </is>
      </c>
      <c r="B22" s="101" t="n">
        <v>4600</v>
      </c>
      <c r="C22" s="82" t="n">
        <v>0.01</v>
      </c>
      <c r="D22" s="128">
        <f>B22*C22</f>
        <v/>
      </c>
      <c r="E22" s="91" t="n">
        <v>1</v>
      </c>
      <c r="F22" s="91" t="n">
        <v>2</v>
      </c>
      <c r="G22" s="93">
        <f>4-E22</f>
        <v/>
      </c>
      <c r="H22" s="122">
        <f>D22*G22*F22/1000</f>
        <v/>
      </c>
      <c r="I22" s="123">
        <f>RANK(H22,$H$12:$H$34)</f>
        <v/>
      </c>
      <c r="J22" s="70" t="inlineStr">
        <is>
          <t>Arroz e cafe, quase sem pivo</t>
        </is>
      </c>
    </row>
    <row r="23" ht="14.25" customHeight="1" s="68">
      <c r="A23" s="96" t="inlineStr">
        <is>
          <t>Russia</t>
        </is>
      </c>
      <c r="B23" s="101" t="n">
        <v>4300</v>
      </c>
      <c r="C23" s="82" t="n">
        <v>0.2</v>
      </c>
      <c r="D23" s="128">
        <f>B23*C23</f>
        <v/>
      </c>
      <c r="E23" s="91" t="n">
        <v>1</v>
      </c>
      <c r="F23" s="91" t="n">
        <v>1</v>
      </c>
      <c r="G23" s="93">
        <f>4-E23</f>
        <v/>
      </c>
      <c r="H23" s="122">
        <f>D23*G23*F23/1000</f>
        <v/>
      </c>
      <c r="I23" s="123">
        <f>RANK(H23,$H$12:$H$34)</f>
        <v/>
      </c>
      <c r="J23" s="70" t="inlineStr">
        <is>
          <t>Pivo em expansao no sul, com restricao geopolitica e cambial</t>
        </is>
      </c>
    </row>
    <row r="24" ht="14.25" customHeight="1" s="68">
      <c r="A24" s="96" t="inlineStr">
        <is>
          <t>Espanha</t>
        </is>
      </c>
      <c r="B24" s="101" t="n">
        <v>3759</v>
      </c>
      <c r="C24" s="82" t="n">
        <v>0.25</v>
      </c>
      <c r="D24" s="128">
        <f>B24*C24</f>
        <v/>
      </c>
      <c r="E24" s="91" t="n">
        <v>3</v>
      </c>
      <c r="F24" s="91" t="n">
        <v>3</v>
      </c>
      <c r="G24" s="93">
        <f>4-E24</f>
        <v/>
      </c>
      <c r="H24" s="122">
        <f>D24*G24*F24/1000</f>
        <v/>
      </c>
      <c r="I24" s="123">
        <f>RANK(H24,$H$12:$H$34)</f>
        <v/>
      </c>
      <c r="J24" s="70" t="inlineStr">
        <is>
          <t>Regulacao hidrica forte ja induziu manejo</t>
        </is>
      </c>
    </row>
    <row r="25" ht="14.25" customHeight="1" s="68">
      <c r="A25" s="96" t="inlineStr">
        <is>
          <t>Uzbequistao</t>
        </is>
      </c>
      <c r="B25" s="101" t="n">
        <v>3732</v>
      </c>
      <c r="C25" s="82" t="n">
        <v>0.05</v>
      </c>
      <c r="D25" s="128">
        <f>B25*C25</f>
        <v/>
      </c>
      <c r="E25" s="91" t="n">
        <v>1</v>
      </c>
      <c r="F25" s="91" t="n">
        <v>2</v>
      </c>
      <c r="G25" s="93">
        <f>4-E25</f>
        <v/>
      </c>
      <c r="H25" s="122">
        <f>D25*G25*F25/1000</f>
        <v/>
      </c>
      <c r="I25" s="123">
        <f>RANK(H25,$H$12:$H$34)</f>
        <v/>
      </c>
      <c r="J25" s="70" t="inlineStr">
        <is>
          <t>Algodao e trigo, modernizacao com apoio multilateral</t>
        </is>
      </c>
    </row>
    <row r="26" ht="14.25" customHeight="1" s="68">
      <c r="A26" s="96" t="inlineStr">
        <is>
          <t>Egito</t>
        </is>
      </c>
      <c r="B26" s="101" t="n">
        <v>3650</v>
      </c>
      <c r="C26" s="82" t="n">
        <v>0.1</v>
      </c>
      <c r="D26" s="128">
        <f>B26*C26</f>
        <v/>
      </c>
      <c r="E26" s="91" t="n">
        <v>1</v>
      </c>
      <c r="F26" s="91" t="n">
        <v>2</v>
      </c>
      <c r="G26" s="93">
        <f>4-E26</f>
        <v/>
      </c>
      <c r="H26" s="122">
        <f>D26*G26*F26/1000</f>
        <v/>
      </c>
      <c r="I26" s="123">
        <f>RANK(H26,$H$12:$H$34)</f>
        <v/>
      </c>
      <c r="J26" s="70" t="inlineStr">
        <is>
          <t>Projetos de pivo no deserto e pressao sobre o Nilo</t>
        </is>
      </c>
    </row>
    <row r="27" ht="14.25" customHeight="1" s="68">
      <c r="A27" s="96" t="inlineStr">
        <is>
          <t>Iraque</t>
        </is>
      </c>
      <c r="B27" s="101" t="n">
        <v>3525</v>
      </c>
      <c r="C27" s="82" t="n">
        <v>0.05</v>
      </c>
      <c r="D27" s="128">
        <f>B27*C27</f>
        <v/>
      </c>
      <c r="E27" s="91" t="n">
        <v>1</v>
      </c>
      <c r="F27" s="91" t="n">
        <v>1</v>
      </c>
      <c r="G27" s="93">
        <f>4-E27</f>
        <v/>
      </c>
      <c r="H27" s="122">
        <f>D27*G27*F27/1000</f>
        <v/>
      </c>
      <c r="I27" s="123">
        <f>RANK(H27,$H$12:$H$34)</f>
        <v/>
      </c>
      <c r="J27" s="70" t="inlineStr">
        <is>
          <t>Crise hidrica aguda e programas de modernizacao com FAO e ONU</t>
        </is>
      </c>
    </row>
    <row r="28" ht="14.25" customHeight="1" s="68">
      <c r="A28" s="96" t="inlineStr">
        <is>
          <t>Italia</t>
        </is>
      </c>
      <c r="B28" s="101" t="n">
        <v>2601</v>
      </c>
      <c r="C28" s="82" t="n">
        <v>0.2</v>
      </c>
      <c r="D28" s="128">
        <f>B28*C28</f>
        <v/>
      </c>
      <c r="E28" s="91" t="n">
        <v>3</v>
      </c>
      <c r="F28" s="91" t="n">
        <v>3</v>
      </c>
      <c r="G28" s="93">
        <f>4-E28</f>
        <v/>
      </c>
      <c r="H28" s="122">
        <f>D28*G28*F28/1000</f>
        <v/>
      </c>
      <c r="I28" s="123">
        <f>RANK(H28,$H$12:$H$34)</f>
        <v/>
      </c>
      <c r="J28" s="70" t="inlineStr">
        <is>
          <t>Manejo maduro, pivo pouco relevante</t>
        </is>
      </c>
    </row>
    <row r="29" ht="14.25" customHeight="1" s="68">
      <c r="A29" s="96" t="inlineStr">
        <is>
          <t>Peru</t>
        </is>
      </c>
      <c r="B29" s="101" t="n">
        <v>2580</v>
      </c>
      <c r="C29" s="82" t="n">
        <v>0.15</v>
      </c>
      <c r="D29" s="128">
        <f>B29*C29</f>
        <v/>
      </c>
      <c r="E29" s="91" t="n">
        <v>2</v>
      </c>
      <c r="F29" s="91" t="n">
        <v>3</v>
      </c>
      <c r="G29" s="93">
        <f>4-E29</f>
        <v/>
      </c>
      <c r="H29" s="122">
        <f>D29*G29*F29/1000</f>
        <v/>
      </c>
      <c r="I29" s="123">
        <f>RANK(H29,$H$12:$H$34)</f>
        <v/>
      </c>
      <c r="J29" s="70" t="inlineStr">
        <is>
          <t>Agroexportacao de alto valor no litoral</t>
        </is>
      </c>
    </row>
    <row r="30" ht="14.25" customHeight="1" s="68">
      <c r="A30" s="96" t="inlineStr">
        <is>
          <t>Argentina</t>
        </is>
      </c>
      <c r="B30" s="101" t="n">
        <v>2360</v>
      </c>
      <c r="C30" s="82" t="n">
        <v>0.3</v>
      </c>
      <c r="D30" s="128">
        <f>B30*C30</f>
        <v/>
      </c>
      <c r="E30" s="91" t="n">
        <v>2</v>
      </c>
      <c r="F30" s="91" t="n">
        <v>4</v>
      </c>
      <c r="G30" s="93">
        <f>4-E30</f>
        <v/>
      </c>
      <c r="H30" s="122">
        <f>D30*G30*F30/1000</f>
        <v/>
      </c>
      <c r="I30" s="123">
        <f>RANK(H30,$H$12:$H$34)</f>
        <v/>
      </c>
      <c r="J30" s="70" t="inlineStr">
        <is>
          <t>Pivo relevante em Cordoba e Buenos Aires</t>
        </is>
      </c>
    </row>
    <row r="31" ht="14.25" customHeight="1" s="68">
      <c r="A31" s="96" t="inlineStr">
        <is>
          <t>Cazaquistao</t>
        </is>
      </c>
      <c r="B31" s="101" t="n">
        <v>1810</v>
      </c>
      <c r="C31" s="82" t="n">
        <v>0.15</v>
      </c>
      <c r="D31" s="128">
        <f>B31*C31</f>
        <v/>
      </c>
      <c r="E31" s="91" t="n">
        <v>1</v>
      </c>
      <c r="F31" s="91" t="n">
        <v>2</v>
      </c>
      <c r="G31" s="93">
        <f>4-E31</f>
        <v/>
      </c>
      <c r="H31" s="122">
        <f>D31*G31*F31/1000</f>
        <v/>
      </c>
      <c r="I31" s="123">
        <f>RANK(H31,$H$12:$H$34)</f>
        <v/>
      </c>
      <c r="J31" s="70" t="inlineStr">
        <is>
          <t>Graos e pivo em expansao</t>
        </is>
      </c>
    </row>
    <row r="32" ht="14.25" customHeight="1" s="68">
      <c r="A32" s="96" t="inlineStr">
        <is>
          <t>Sudao</t>
        </is>
      </c>
      <c r="B32" s="101" t="n">
        <v>1567</v>
      </c>
      <c r="C32" s="82" t="n">
        <v>0.03</v>
      </c>
      <c r="D32" s="128">
        <f>B32*C32</f>
        <v/>
      </c>
      <c r="E32" s="91" t="n">
        <v>1</v>
      </c>
      <c r="F32" s="91" t="n">
        <v>1</v>
      </c>
      <c r="G32" s="93">
        <f>4-E32</f>
        <v/>
      </c>
      <c r="H32" s="122">
        <f>D32*G32*F32/1000</f>
        <v/>
      </c>
      <c r="I32" s="123">
        <f>RANK(H32,$H$12:$H$34)</f>
        <v/>
      </c>
      <c r="J32" s="70" t="inlineStr">
        <is>
          <t>Instabilidade politica</t>
        </is>
      </c>
    </row>
    <row r="33" ht="14.25" customHeight="1" s="68">
      <c r="A33" s="96" t="inlineStr">
        <is>
          <t>Australia</t>
        </is>
      </c>
      <c r="B33" s="101" t="n">
        <v>1521</v>
      </c>
      <c r="C33" s="82" t="n">
        <v>0.3</v>
      </c>
      <c r="D33" s="128">
        <f>B33*C33</f>
        <v/>
      </c>
      <c r="E33" s="91" t="n">
        <v>3</v>
      </c>
      <c r="F33" s="91" t="n">
        <v>3</v>
      </c>
      <c r="G33" s="93">
        <f>4-E33</f>
        <v/>
      </c>
      <c r="H33" s="122">
        <f>D33*G33*F33/1000</f>
        <v/>
      </c>
      <c r="I33" s="123">
        <f>RANK(H33,$H$12:$H$34)</f>
        <v/>
      </c>
      <c r="J33" s="70" t="inlineStr">
        <is>
          <t>Mercado de agua desenvolvido e manejo maduro</t>
        </is>
      </c>
    </row>
    <row r="34" ht="14.25" customHeight="1" s="68">
      <c r="A34" s="96" t="inlineStr">
        <is>
          <t>Ucrania</t>
        </is>
      </c>
      <c r="B34" s="101" t="n">
        <v>420</v>
      </c>
      <c r="C34" s="82" t="n">
        <v>0.4</v>
      </c>
      <c r="D34" s="128">
        <f>B34*C34</f>
        <v/>
      </c>
      <c r="E34" s="91" t="n">
        <v>1</v>
      </c>
      <c r="F34" s="91" t="n">
        <v>2</v>
      </c>
      <c r="G34" s="93">
        <f>4-E34</f>
        <v/>
      </c>
      <c r="H34" s="122">
        <f>D34*G34*F34/1000</f>
        <v/>
      </c>
      <c r="I34" s="123">
        <f>RANK(H34,$H$12:$H$34)</f>
        <v/>
      </c>
      <c r="J34" s="70" t="inlineStr">
        <is>
          <t>Area pre-guerra. Potencial de 1,8 milhao de ha e reconstrucao financiada</t>
        </is>
      </c>
    </row>
    <row r="35" ht="14.25" customHeight="1" s="68">
      <c r="A35" s="96" t="inlineStr">
        <is>
          <t>Total</t>
        </is>
      </c>
      <c r="B35" s="129">
        <f>SUM(B12:B34)</f>
        <v/>
      </c>
      <c r="D35" s="129">
        <f>SUM(D12:D34)</f>
        <v/>
      </c>
    </row>
    <row r="37" ht="14.25" customHeight="1" s="68">
      <c r="A37" s="72" t="inlineStr">
        <is>
          <t>BRASIL — AREA SOB PIVO CENTRAL, PRINCIPAIS ESTADOS (2024)</t>
        </is>
      </c>
      <c r="B37" s="73" t="n"/>
      <c r="C37" s="73" t="n"/>
      <c r="D37" s="73" t="n"/>
      <c r="E37" s="73" t="n"/>
      <c r="F37" s="73" t="n"/>
      <c r="G37" s="73" t="n"/>
      <c r="H37" s="73" t="n"/>
      <c r="I37" s="73" t="n"/>
      <c r="J37" s="73" t="n"/>
    </row>
    <row r="38" ht="14.25" customHeight="1" s="68">
      <c r="A38" s="106" t="inlineStr">
        <is>
          <t>Estado</t>
        </is>
      </c>
      <c r="B38" s="107" t="inlineStr">
        <is>
          <t>Area sob pivo (ha)</t>
        </is>
      </c>
      <c r="C38" s="107" t="inlineStr">
        <is>
          <t>% do total nacional</t>
        </is>
      </c>
      <c r="D38" s="107" t="n"/>
      <c r="E38" s="107" t="n"/>
      <c r="F38" s="107" t="n"/>
      <c r="G38" s="107" t="n"/>
      <c r="H38" s="107" t="n"/>
      <c r="I38" s="107" t="n"/>
      <c r="J38" s="107" t="inlineStr">
        <is>
          <t>Fonte</t>
        </is>
      </c>
    </row>
    <row r="39" ht="14.25" customHeight="1" s="68">
      <c r="A39" s="74" t="inlineStr">
        <is>
          <t>Minas Gerais</t>
        </is>
      </c>
      <c r="B39" s="101" t="n">
        <v>636994</v>
      </c>
      <c r="C39" s="97">
        <f>B39/2200960</f>
        <v/>
      </c>
    </row>
    <row r="40" ht="14.25" customHeight="1" s="68">
      <c r="A40" s="74" t="inlineStr">
        <is>
          <t>Bahia</t>
        </is>
      </c>
      <c r="B40" s="101" t="n">
        <v>404444</v>
      </c>
      <c r="C40" s="97">
        <f>B40/2200960</f>
        <v/>
      </c>
    </row>
    <row r="41" ht="14.25" customHeight="1" s="68">
      <c r="A41" s="74" t="inlineStr">
        <is>
          <t>Goias</t>
        </is>
      </c>
      <c r="B41" s="101" t="n">
        <v>345530</v>
      </c>
      <c r="C41" s="97">
        <f>B41/2200960</f>
        <v/>
      </c>
    </row>
    <row r="42" ht="14.25" customHeight="1" s="68">
      <c r="A42" s="74" t="inlineStr">
        <is>
          <t>Sao Paulo</t>
        </is>
      </c>
      <c r="B42" s="101" t="n">
        <v>247389</v>
      </c>
      <c r="C42" s="97">
        <f>B42/2200960</f>
        <v/>
      </c>
    </row>
    <row r="43" ht="14.25" customHeight="1" s="68">
      <c r="A43" s="74" t="inlineStr">
        <is>
          <t>Rio Grande do Sul</t>
        </is>
      </c>
      <c r="B43" s="101" t="n">
        <v>205620</v>
      </c>
      <c r="C43" s="97">
        <f>B43/2200960</f>
        <v/>
      </c>
    </row>
    <row r="44" ht="14.25" customHeight="1" s="68">
      <c r="A44" s="74" t="inlineStr">
        <is>
          <t>Mato Grosso</t>
        </is>
      </c>
      <c r="B44" s="101" t="n">
        <v>183033</v>
      </c>
      <c r="C44" s="97">
        <f>B44/2200960</f>
        <v/>
      </c>
    </row>
    <row r="45" ht="14.25" customHeight="1" s="68">
      <c r="A45" s="74" t="inlineStr">
        <is>
          <t>Mato Grosso do Sul</t>
        </is>
      </c>
      <c r="B45" s="101" t="n">
        <v>64221</v>
      </c>
      <c r="C45" s="97">
        <f>B45/2200960</f>
        <v/>
      </c>
    </row>
    <row r="46" ht="14.25" customHeight="1" s="68">
      <c r="A46" s="96" t="inlineStr">
        <is>
          <t>Total nacional</t>
        </is>
      </c>
      <c r="B46" s="129" t="n">
        <v>2200960</v>
      </c>
      <c r="C46" s="130">
        <f>B46/2200960</f>
        <v/>
      </c>
      <c r="J46" s="70" t="inlineStr">
        <is>
          <t>ANA e Embrapa, levantamento de pivos centrais 2024</t>
        </is>
      </c>
    </row>
    <row r="47" ht="14.25" customHeight="1" s="68">
      <c r="A47" s="96" t="inlineStr">
        <is>
          <t>Pivos centrais no Brasil</t>
        </is>
      </c>
      <c r="B47" s="128" t="n">
        <v>33846</v>
      </c>
      <c r="C47" s="70" t="inlineStr">
        <is>
          <t>equipamentos mapeados em 2024</t>
        </is>
      </c>
    </row>
    <row r="48" ht="14.25" customHeight="1" s="68">
      <c r="A48" s="96" t="inlineStr">
        <is>
          <t>Area media por pivo</t>
        </is>
      </c>
      <c r="B48" s="122">
        <f>2200960/33846</f>
        <v/>
      </c>
      <c r="C48" s="70" t="inlineStr">
        <is>
          <t>hectares</t>
        </is>
      </c>
    </row>
    <row r="49" ht="14.25" customHeight="1" s="68">
      <c r="A49" s="96" t="inlineStr">
        <is>
          <t>Crescimento de area 2022 a 2024</t>
        </is>
      </c>
      <c r="B49" s="100" t="n">
        <v>0.1468</v>
      </c>
      <c r="C49" s="70" t="inlineStr">
        <is>
          <t>maior salto da serie desde 1985</t>
        </is>
      </c>
    </row>
    <row r="50" ht="14.25" customHeight="1" s="68">
      <c r="A50" s="96" t="inlineStr">
        <is>
          <t>Participacao da base no parque nacional</t>
        </is>
      </c>
      <c r="B50" s="104">
        <f>Premissas!$B$13/33846</f>
        <v/>
      </c>
      <c r="C50" s="70" t="inlineStr">
        <is>
          <t>pontos no escopo sobre os pivos mapeados no pais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filterMode="0">
    <tabColor rgb="FFA6A6A6"/>
    <outlinePr summaryBelow="1" summaryRight="1"/>
    <pageSetUpPr fitToPage="0"/>
  </sheetPr>
  <dimension ref="A1:D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4.25" zeroHeight="0" outlineLevelRow="0"/>
  <cols>
    <col width="40" customWidth="1" style="67" min="1" max="1"/>
    <col width="50" customWidth="1" style="67" min="2" max="2"/>
    <col width="52" customWidth="1" style="67" min="3" max="3"/>
    <col width="60" customWidth="1" style="67" min="4" max="4"/>
  </cols>
  <sheetData>
    <row r="1" ht="17.25" customHeight="1" s="68">
      <c r="A1" s="69" t="inlineStr">
        <is>
          <t>Fontes</t>
        </is>
      </c>
    </row>
    <row r="2" ht="14.25" customHeight="1" s="68">
      <c r="A2" s="70" t="inlineStr">
        <is>
          <t>Origem de cada numero de referencia. O que e premissa interna esta marcado como tal.</t>
        </is>
      </c>
    </row>
    <row r="4" ht="14.25" customHeight="1" s="68">
      <c r="A4" s="106" t="inlineStr">
        <is>
          <t>Numero usado no modelo</t>
        </is>
      </c>
      <c r="B4" s="107" t="inlineStr">
        <is>
          <t>Valor</t>
        </is>
      </c>
      <c r="C4" s="107" t="inlineStr">
        <is>
          <t>Fonte</t>
        </is>
      </c>
      <c r="D4" s="107" t="inlineStr">
        <is>
          <t>Endereco</t>
        </is>
      </c>
    </row>
    <row r="5" ht="31.5" customHeight="1" s="68">
      <c r="A5" s="131" t="inlineStr">
        <is>
          <t>Pivos centrais no Brasil</t>
        </is>
      </c>
      <c r="B5" s="132" t="inlineStr">
        <is>
          <t>33.846 equipamentos em 2024</t>
        </is>
      </c>
      <c r="C5" s="132" t="inlineStr">
        <is>
          <t>Embrapa e ANA — Agricultura irrigada por pivos centrais no Brasil em 2024</t>
        </is>
      </c>
      <c r="D5" s="133" t="inlineStr">
        <is>
          <t>https://www.infoteca.cnptia.embrapa.br/infoteca/handle/doc/1167756</t>
        </is>
      </c>
    </row>
    <row r="6" ht="31.5" customHeight="1" s="68">
      <c r="A6" s="131" t="inlineStr">
        <is>
          <t>Area irrigada por pivos no Brasil</t>
        </is>
      </c>
      <c r="B6" s="132" t="inlineStr">
        <is>
          <t>2.200.960 ha em 2024, com alta de 14,68% no bienio</t>
        </is>
      </c>
      <c r="C6" s="132" t="inlineStr">
        <is>
          <t>Embrapa e ANA — mesmo levantamento</t>
        </is>
      </c>
      <c r="D6" s="133" t="inlineStr">
        <is>
          <t>https://www.infoteca.cnptia.embrapa.br/infoteca/handle/doc/1167756</t>
        </is>
      </c>
    </row>
    <row r="7" ht="31.5" customHeight="1" s="68">
      <c r="A7" s="131" t="inlineStr">
        <is>
          <t>Area irrigada nos Estados Unidos</t>
        </is>
      </c>
      <c r="B7" s="132" t="inlineStr">
        <is>
          <t>53,1 milhoes de acres, equivalentes a 21,5 milhoes de ha</t>
        </is>
      </c>
      <c r="C7" s="132" t="inlineStr">
        <is>
          <t>USDA NASS — Irrigation and Water Management Survey 2023</t>
        </is>
      </c>
      <c r="D7" s="133" t="inlineStr">
        <is>
          <t>https://data.nass.usda.gov/Newsroom/printable/2024/10-31-2024.pdf</t>
        </is>
      </c>
    </row>
    <row r="8" ht="31.5" customHeight="1" s="68">
      <c r="A8" s="131" t="inlineStr">
        <is>
          <t>Area irrigada por pais</t>
        </is>
      </c>
      <c r="B8" s="132" t="inlineStr">
        <is>
          <t>Ranking em mil ha</t>
        </is>
      </c>
      <c r="C8" s="132" t="inlineStr">
        <is>
          <t>Compilacao FAO AQUASTAT e CIA World Factbook</t>
        </is>
      </c>
      <c r="D8" s="133" t="inlineStr">
        <is>
          <t>https://en.wikipedia.org/wiki/List_of_countries_by_irrigated_land_area</t>
        </is>
      </c>
    </row>
    <row r="9" ht="31.5" customHeight="1" s="68">
      <c r="A9" s="131" t="inlineStr">
        <is>
          <t>Cobertura do sensor de neutrons cosmicos</t>
        </is>
      </c>
      <c r="B9" s="132" t="inlineStr">
        <is>
          <t>5 a 10 ha ao nivel do mar, medicao continua</t>
        </is>
      </c>
      <c r="C9" s="132" t="inlineStr">
        <is>
          <t>Bauer do Brasil — pagina do produto CosmoField</t>
        </is>
      </c>
      <c r="D9" s="133" t="inlineStr">
        <is>
          <t>https://www.bauer-br.com/pt/cosmofield/</t>
        </is>
      </c>
    </row>
    <row r="10" ht="31.5" customHeight="1" s="68">
      <c r="A10" s="131" t="inlineStr">
        <is>
          <t>Custo de IoT gerenciado</t>
        </is>
      </c>
      <c r="B10" s="132" t="inlineStr">
        <is>
          <t>US$ 0,06 a US$ 0,075 por dispositivo por mes em 10 mil dispositivos</t>
        </is>
      </c>
      <c r="C10" s="132" t="inlineStr">
        <is>
          <t>Comparativo AWS IoT Core e Azure IoT Hub</t>
        </is>
      </c>
      <c r="D10" s="133" t="inlineStr">
        <is>
          <t>https://hubble.com/community/comparisons/aws-iot-core-vs-azure-iot-hub-pricing-what-10-000-devices-actually-costs/</t>
        </is>
      </c>
    </row>
    <row r="11" ht="31.5" customHeight="1" s="68">
      <c r="A11" s="131" t="inlineStr">
        <is>
          <t>Custo de gateway de API</t>
        </is>
      </c>
      <c r="B11" s="132" t="inlineStr">
        <is>
          <t>AWS HTTP US$ 1,00 e REST US$ 3,50 por milhao; Azure US$ 3,50; Apigee US$ 20,00</t>
        </is>
      </c>
      <c r="C11" s="132" t="inlineStr">
        <is>
          <t>Zuplo — comparativo de precos de gateway 2026</t>
        </is>
      </c>
      <c r="D11" s="133" t="inlineStr">
        <is>
          <t>https://zuplo.com/learning-center/api-gateway-pricing-comparison-2026</t>
        </is>
      </c>
    </row>
    <row r="12" ht="31.5" customHeight="1" s="68">
      <c r="A12" s="131" t="inlineStr">
        <is>
          <t>Modelos de precificacao de API</t>
        </is>
      </c>
      <c r="B12" s="132" t="inlineStr">
        <is>
          <t>Oito modelos com mecanica e faixa de preco de mercado</t>
        </is>
      </c>
      <c r="C12" s="132" t="inlineStr">
        <is>
          <t>Zuplo — 8 types of API pricing models</t>
        </is>
      </c>
      <c r="D12" s="133" t="inlineStr">
        <is>
          <t>https://zuplo.com/blog/8-types-of-api-pricing-models</t>
        </is>
      </c>
    </row>
    <row r="13" ht="31.5" customHeight="1" s="68">
      <c r="A13" s="131" t="inlineStr">
        <is>
          <t>Salario de desenvolvedor no Brasil</t>
        </is>
      </c>
      <c r="B13" s="132" t="inlineStr">
        <is>
          <t>Media de R$ 5.985 por mes em regime CLT para back-end</t>
        </is>
      </c>
      <c r="C13" s="132" t="inlineStr">
        <is>
          <t>Portal Salario</t>
        </is>
      </c>
      <c r="D13" s="133" t="inlineStr">
        <is>
          <t>https://www.salario.com.br/profissao/desenvolvedor-back-end/</t>
        </is>
      </c>
    </row>
    <row r="14" ht="31.5" customHeight="1" s="68">
      <c r="A14" s="131" t="inlineStr">
        <is>
          <t>Irrigacao na Ucrania</t>
        </is>
      </c>
      <c r="B14" s="132" t="inlineStr">
        <is>
          <t>420 mil ha antes da guerra, perda de cerca de 300 mil ha</t>
        </is>
      </c>
      <c r="C14" s="132" t="inlineStr">
        <is>
          <t>Banco Mundial — The Future of Irrigation in Ukraine</t>
        </is>
      </c>
      <c r="D14" s="133" t="inlineStr">
        <is>
          <t>https://documents1.worldbank.org/curated/en/099062524074575405/pdf/P18019816676490c1b4fc1484bbd031258.pdf</t>
        </is>
      </c>
    </row>
    <row r="15" ht="31.5" customHeight="1" s="68">
      <c r="A15" s="131" t="inlineStr">
        <is>
          <t>Modernizacao da irrigacao no Iraque</t>
        </is>
      </c>
      <c r="B15" s="132" t="inlineStr">
        <is>
          <t>Programas com FAO e Ministerio de Recursos Hidricos</t>
        </is>
      </c>
      <c r="C15" s="132" t="inlineStr">
        <is>
          <t>Nacoes Unidas no Iraque</t>
        </is>
      </c>
      <c r="D15" s="133" t="inlineStr">
        <is>
          <t>https://iraq.un.org/en/310310-fao-and-ministry-water-resources-inaugurate-model-projects-enhance-irrigation-water-use</t>
        </is>
      </c>
    </row>
    <row r="16" ht="31.5" customHeight="1" s="68">
      <c r="A16" s="131" t="inlineStr">
        <is>
          <t>Portfolio da plataforma</t>
        </is>
      </c>
      <c r="B16" s="132" t="inlineStr">
        <is>
          <t>Nexus, SmartConnect, Irripump, medidor de nivel, SAF e CosmoField</t>
        </is>
      </c>
      <c r="C16" s="132" t="inlineStr">
        <is>
          <t>Irricontrol — site institucional</t>
        </is>
      </c>
      <c r="D16" s="133" t="inlineStr">
        <is>
          <t>https://irricontrol.com.br/home/</t>
        </is>
      </c>
    </row>
    <row r="17" ht="14.25" customHeight="1" s="68">
      <c r="A17" s="74" t="inlineStr">
        <is>
          <t>Base de dispositivos da Irricontrol (ago/2026)</t>
        </is>
      </c>
      <c r="B17" s="74" t="inlineStr">
        <is>
          <t>3.847 pivos efetivos, 803 Irripumps, 172 medidores de nivel</t>
        </is>
      </c>
      <c r="C17" s="74" t="inlineStr">
        <is>
          <t>Notion — BILLING BUSINESS MODEL</t>
        </is>
      </c>
      <c r="D17" s="74" t="inlineStr">
        <is>
          <t>https://app.notion.com/p/3b984fc4585080f09309e2266bea0b46</t>
        </is>
      </c>
    </row>
    <row r="18" ht="14.25" customHeight="1" s="68">
      <c r="A18" s="74" t="inlineStr">
        <is>
          <t>Base de pontos usada nas Premissas (02/set/2026)</t>
        </is>
      </c>
      <c r="B18" s="74" t="inlineStr">
        <is>
          <t>3.800 pontos de pivo, 803 Irripump, 172 medidor de nivel</t>
        </is>
      </c>
      <c r="C18" s="74" t="inlineStr">
        <is>
          <t>Informado por William em conversa, 02/set/2026 — proximo do dado do banco acima</t>
        </is>
      </c>
      <c r="D18" s="74" t="n"/>
    </row>
    <row r="19" ht="14.25" customHeight="1" s="68">
      <c r="A19" s="74" t="inlineStr">
        <is>
          <t>Receita coletada — 2025 (ano completo)</t>
        </is>
      </c>
      <c r="B19" s="74" t="inlineStr">
        <is>
          <t>R$ 2.010.247 — Stripe charge volume</t>
        </is>
      </c>
      <c r="C19" s="74" t="inlineStr">
        <is>
          <t>Notion — BILLING BUSINESS MODEL / Narrativa da Tese</t>
        </is>
      </c>
      <c r="D19" s="74" t="inlineStr">
        <is>
          <t>https://app.notion.com/p/3ce84fc45850817daa6ad7806de2ebb4</t>
        </is>
      </c>
    </row>
    <row r="20" ht="14.25" customHeight="1" s="68">
      <c r="A20" s="74" t="inlineStr">
        <is>
          <t>Receita coletada — 2026 (jan-ago, anualizada)</t>
        </is>
      </c>
      <c r="B20" s="74" t="inlineStr">
        <is>
          <t>R$ 1.227.997 no periodo, ÷8×12 = R$ 1.841.996 anualizado</t>
        </is>
      </c>
      <c r="C20" s="74" t="inlineStr">
        <is>
          <t>Notion — BILLING BUSINESS MODEL, 01/set/2026</t>
        </is>
      </c>
      <c r="D20" s="74" t="inlineStr">
        <is>
          <t>https://app.notion.com/p/3b984fc4585080f09309e2266bea0b46</t>
        </is>
      </c>
    </row>
    <row r="21" ht="14.25" customHeight="1" s="68">
      <c r="A21" s="74" t="inlineStr">
        <is>
          <t>Tabela global de pricing Bauer — desconto por volume x prazo e preco por device</t>
        </is>
      </c>
      <c r="B21" s="74" t="inlineStr">
        <is>
          <t>5 tiers (1-10 a 41-50 dispositivos) x 1/2/3 anos</t>
        </is>
      </c>
      <c r="C21" s="74" t="inlineStr">
        <is>
          <t>Imagem enviada por William, 02/set/2026 — mesmos dados arquivados na Notion BILLING BUSINESS MODEL</t>
        </is>
      </c>
      <c r="D21" s="74" t="inlineStr">
        <is>
          <t>https://app.notion.com/p/3b984fc4585080f09309e2266bea0b46</t>
        </is>
      </c>
    </row>
    <row r="22" ht="14.25" customHeight="1" s="68">
      <c r="A22" s="74" t="inlineStr">
        <is>
          <t>Salario de operacao interna de billing</t>
        </is>
      </c>
      <c r="B22" s="74" t="inlineStr">
        <is>
          <t>R$ 3.000/mes, fator de encargos 2x, 50% do tempo alocado</t>
        </is>
      </c>
      <c r="C22" s="74" t="inlineStr">
        <is>
          <t>Informado por William em conversa, 02/set/2026</t>
        </is>
      </c>
      <c r="D22" s="74" t="n"/>
    </row>
    <row r="24" ht="14.25" customHeight="1" s="68">
      <c r="A24" s="96" t="inlineStr">
        <is>
          <t>Premissas internas</t>
        </is>
      </c>
    </row>
    <row r="25" ht="14.25" customHeight="1" s="68">
      <c r="A25" s="70" t="inlineStr">
        <is>
          <t>Os grupos de cortesia agora estao na aba Premissas, secao 4 (Bonificados) — por cliente e ano, substituindo o exemplo antigo por safras (5/3/2 em dez). Preencher com o levantamento real.</t>
        </is>
      </c>
    </row>
    <row r="26" ht="14.25" customHeight="1" s="68">
      <c r="A26" s="70" t="inlineStr">
        <is>
          <t>A aba Monitoramento esta propositalmente em branco nas premissas de custo do time dedicado.</t>
        </is>
      </c>
    </row>
    <row r="27" ht="14.25" customHeight="1" s="68">
      <c r="A27" s="70" t="inlineStr">
        <is>
          <t>As abas Monitoramento e API Comercial estao propositalmente em branco. Os benchmarks externos servem de ancora, nao de premissa.</t>
        </is>
      </c>
    </row>
    <row r="28" ht="14.25" customHeight="1" s="68">
      <c r="A28" s="70" t="inlineStr">
        <is>
          <t>Notas de maturidade de manejo e acessibilidade comercial na aba Mercado sao avaliacao qualitativa a calibrar com o time comercial.</t>
        </is>
      </c>
    </row>
  </sheetData>
  <hyperlinks>
    <hyperlink xmlns:r="http://schemas.openxmlformats.org/officeDocument/2006/relationships" ref="D5" display="https://www.infoteca.cnptia.embrapa.br/infoteca/handle/doc/1167756" r:id="rId1"/>
    <hyperlink xmlns:r="http://schemas.openxmlformats.org/officeDocument/2006/relationships" ref="D6" display="https://www.infoteca.cnptia.embrapa.br/infoteca/handle/doc/1167756" r:id="rId2"/>
    <hyperlink xmlns:r="http://schemas.openxmlformats.org/officeDocument/2006/relationships" ref="D7" display="https://data.nass.usda.gov/Newsroom/printable/2024/10-31-2024.pdf" r:id="rId3"/>
    <hyperlink xmlns:r="http://schemas.openxmlformats.org/officeDocument/2006/relationships" ref="D8" display="https://en.wikipedia.org/wiki/List_of_countries_by_irrigated_land_area" r:id="rId4"/>
    <hyperlink xmlns:r="http://schemas.openxmlformats.org/officeDocument/2006/relationships" ref="D9" display="https://www.bauer-br.com/pt/cosmofield/" r:id="rId5"/>
    <hyperlink xmlns:r="http://schemas.openxmlformats.org/officeDocument/2006/relationships" ref="D10" display="https://hubble.com/community/comparisons/aws-iot-core-vs-azure-iot-hub-pricing-what-10-000-devices-actually-costs/" r:id="rId6"/>
    <hyperlink xmlns:r="http://schemas.openxmlformats.org/officeDocument/2006/relationships" ref="D11" display="https://zuplo.com/learning-center/api-gateway-pricing-comparison-2026" r:id="rId7"/>
    <hyperlink xmlns:r="http://schemas.openxmlformats.org/officeDocument/2006/relationships" ref="D12" display="https://zuplo.com/blog/8-types-of-api-pricing-models" r:id="rId8"/>
    <hyperlink xmlns:r="http://schemas.openxmlformats.org/officeDocument/2006/relationships" ref="D13" display="https://www.salario.com.br/profissao/desenvolvedor-back-end/" r:id="rId9"/>
    <hyperlink xmlns:r="http://schemas.openxmlformats.org/officeDocument/2006/relationships" ref="D14" display="https://documents1.worldbank.org/curated/en/099062524074575405/pdf/P18019816676490c1b4fc1484bbd031258.pdf" r:id="rId10"/>
    <hyperlink xmlns:r="http://schemas.openxmlformats.org/officeDocument/2006/relationships" ref="D15" display="https://iraq.un.org/en/310310-fao-and-ministry-water-resources-inaugurate-model-projects-enhance-irrigation-water-use" r:id="rId11"/>
    <hyperlink xmlns:r="http://schemas.openxmlformats.org/officeDocument/2006/relationships" ref="D16" display="https://irricontrol.com.br/home/" r:id="rId12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2026-08-25T15:13:04Z</dcterms:created>
  <dcterms:modified xmlns:dcterms="http://purl.org/dc/terms/" xmlns:xsi="http://www.w3.org/2001/XMLSchema-instance" xsi:type="dcterms:W3CDTF">2026-09-02T14:14:28Z</dcterms:modified>
  <cp:revision>2</cp:revision>
</cp:coreProperties>
</file>